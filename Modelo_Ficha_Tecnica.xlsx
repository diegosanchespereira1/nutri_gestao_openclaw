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a Técnica de Preparaçã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<sst xmlns="http://schemas.openxmlformats.org/spreadsheetml/2006/main" count="116" uniqueCount="86">
  <si>
    <t xml:space="preserve">▼  INTRODUÇÃO — O que é a Ficha Técnica de Preparação (FTP)?   [ clique em  –  à esquerda para recolher ]</t>
  </si>
  <si>
    <t xml:space="preserve">A ficha técnica é um instrumento gerencial e de apoio operacional, pelo qual se faz o levantamento dos custos, se ordena as etapas de preparação e montagem dos pratos que são, ou podem vir a ser, preparados.</t>
  </si>
  <si>
    <t xml:space="preserve">A Unidade de Alimentação e Nutrição, ao preparar um prato, deve-se ater a um padrão não só para garantir a qualidade, mas também os custos fixados.</t>
  </si>
  <si>
    <t xml:space="preserve">A partir dessa ficha são estipulados os preços de venda de maneira a atender as expectativas da clientela do restaurante.</t>
  </si>
  <si>
    <t xml:space="preserve">Quais as vantagens de se estabelecer o uso da FTP em Unidades de Alimentação e Nutrição?</t>
  </si>
  <si>
    <t xml:space="preserve">1. Diminui perdas na cozinha — padroniza as quantidades e determina os produtos que entrarão na preparação dos pratos.</t>
  </si>
  <si>
    <t xml:space="preserve">2. Dinamiza o trabalho da brigada de cozinha — profissionais têm acesso às fichas e dão respostas precisas aos clientes.</t>
  </si>
  <si>
    <t xml:space="preserve">3. Facilita a preparação dos pratos — fonte única de consulta, racionaliza o tempo e aumenta a produtividade.</t>
  </si>
  <si>
    <t xml:space="preserve">4. Permite o bom treinamento de novos cozinheiros — o padrão do estabelecimento é preservado.</t>
  </si>
  <si>
    <t xml:space="preserve">5. Facilita o trabalho do setor de compras — permite programar compras e pesquisar fornecedores com base no consumo real.</t>
  </si>
  <si>
    <t xml:space="preserve">6. Ajuda no controle dos desvios — quantidades bem definidas conscientizam a equipe.</t>
  </si>
  <si>
    <t xml:space="preserve">7. Garante ao cliente qualidade e quantidade — o prato será sempre igual em apresentação, porcionamento e sabor.</t>
  </si>
  <si>
    <t xml:space="preserve">8. É a base de cálculo do preço de venda — oferece dados precisos para alterações de preço.</t>
  </si>
  <si>
    <t xml:space="preserve">9. Permite alterações de preços com base na realidade do mercado, sem depender da concorrência.</t>
  </si>
  <si>
    <t xml:space="preserve"> </t>
  </si>
  <si>
    <t xml:space="preserve">💡  Dica: Para ocultar esta seção, clique no botão  [ – ]  que aparece à esquerda desta linha.</t>
  </si>
  <si>
    <t xml:space="preserve">▼  INSTRUÇÕES DE PREENCHIMENTO   [ clique em  –  à esquerda para recolher ]</t>
  </si>
  <si>
    <t xml:space="preserve">É fundamental que se elabore uma ficha técnica contendo todas as informações sobre o preparo do produto.</t>
  </si>
  <si>
    <t xml:space="preserve">A ficha deve conter: nome do produto, classificação, rendimento em porções, ingredientes, quantidades e custos de aquisição.</t>
  </si>
  <si>
    <t xml:space="preserve">Observe os fatores de Correção e o Índice de Aproveitamento (Cocção) de cada ingrediente.</t>
  </si>
  <si>
    <t xml:space="preserve">Se o empreendimento utiliza embalagem para viagem ou outro item importante, ele deve constar na ficha.</t>
  </si>
  <si>
    <t xml:space="preserve">📋  Passo a passo de preenchimento:</t>
  </si>
  <si>
    <t xml:space="preserve">1.  Liste todos os ingredientes na coluna A. Para ADICIONAR MAIS LINHAS: selecione uma linha dentro da tabela verde → botão direito → Inserir linhas na tabela.</t>
  </si>
  <si>
    <t xml:space="preserve">2.  Informe a quantidade LÍQUIDA (coluna B) e a respectiva unidade (coluna C).</t>
  </si>
  <si>
    <t xml:space="preserve">3.  Preencha o índice de aproveitamento em decimal na coluna D  (ex.: 0,85 = 85%). A Qtd. Bruta (coluna E) é calculada automaticamente.</t>
  </si>
  <si>
    <t xml:space="preserve">4.  Informe o custo bruto unitário na coluna F. O Custo Total (coluna G) é calculado automaticamente.</t>
  </si>
  <si>
    <t xml:space="preserve">5.  Descreva o modo de preparo no campo indicado (passo a passo).</t>
  </si>
  <si>
    <t xml:space="preserve">6.  Ajuste o CMV Projetado (%) na célula amarela — o preço de venda é calculado automaticamente.</t>
  </si>
  <si>
    <t xml:space="preserve">7.  Confira ao final: Custo da Receita, Custo por Porção, Preço de Venda por Receita e por Porção.</t>
  </si>
  <si>
    <t xml:space="preserve">🔵 Azul = células de entrada (preencha você)   |   ⚫ Preto = fórmulas (não altere)</t>
  </si>
  <si>
    <t xml:space="preserve">                                         FICHA TÉCNICA DE PREPARAÇÃO  (FTP)</t>
  </si>
  <si>
    <t xml:space="preserve">Preparação:</t>
  </si>
  <si>
    <t xml:space="preserve">CMV Projetado:</t>
  </si>
  <si>
    <t xml:space="preserve">Preço de Venda p/ Receita:</t>
  </si>
  <si>
    <t xml:space="preserve">Classificação:</t>
  </si>
  <si>
    <t xml:space="preserve">Setor:</t>
  </si>
  <si>
    <t xml:space="preserve">Nutrição</t>
  </si>
  <si>
    <t xml:space="preserve">Preço de Venda p/ Porção:</t>
  </si>
  <si>
    <t xml:space="preserve">Tamanho da Receita:</t>
  </si>
  <si>
    <t xml:space="preserve">porções</t>
  </si>
  <si>
    <t xml:space="preserve">Preço de Custo p/ Porção:</t>
  </si>
  <si>
    <t xml:space="preserve">Tamanho da Porção:</t>
  </si>
  <si>
    <t xml:space="preserve">gramas</t>
  </si>
  <si>
    <t xml:space="preserve">Preço de Custo p/ Receita:</t>
  </si>
  <si>
    <t xml:space="preserve">Ingredientes</t>
  </si>
  <si>
    <t xml:space="preserve">Qtd. Líquida</t>
  </si>
  <si>
    <t xml:space="preserve">Und.</t>
  </si>
  <si>
    <t xml:space="preserve">Aprov. (%)</t>
  </si>
  <si>
    <t xml:space="preserve">Qtd. Bruta</t>
  </si>
  <si>
    <t xml:space="preserve">Custo Bruto Unitário (R$)</t>
  </si>
  <si>
    <t xml:space="preserve">Custo Total (R$)</t>
  </si>
  <si>
    <t xml:space="preserve">Observações</t>
  </si>
  <si>
    <t xml:space="preserve">Kg.</t>
  </si>
  <si>
    <t xml:space="preserve">CUSTO TOTAL DA RECEITA</t>
  </si>
  <si>
    <t xml:space="preserve">Modo de Preparo:</t>
  </si>
  <si>
    <t xml:space="preserve">Elaborado por:</t>
  </si>
  <si>
    <t xml:space="preserve">1.</t>
  </si>
  <si>
    <t xml:space="preserve">2.</t>
  </si>
  <si>
    <t xml:space="preserve">3.</t>
  </si>
  <si>
    <t xml:space="preserve">4.</t>
  </si>
  <si>
    <t xml:space="preserve">5.</t>
  </si>
  <si>
    <t xml:space="preserve">6.</t>
  </si>
  <si>
    <t xml:space="preserve">7.</t>
  </si>
  <si>
    <t xml:space="preserve">CMV Projetados — tabela de referência</t>
  </si>
  <si>
    <t xml:space="preserve">CMV%</t>
  </si>
  <si>
    <t xml:space="preserve">Preço Venda / Receita</t>
  </si>
  <si>
    <t xml:space="preserve">Preço Venda / Porção</t>
  </si>
  <si>
    <t xml:space="preserve">Para CMV de 25%</t>
  </si>
  <si>
    <t xml:space="preserve">Para CMV de 30%</t>
  </si>
  <si>
    <t xml:space="preserve">Para CMV de 35%</t>
  </si>
  <si>
    <t xml:space="preserve">Para CMV de 40%</t>
  </si>
  <si>
    <t xml:space="preserve">Para CMV de 45%</t>
  </si>
  <si>
    <t xml:space="preserve">GLOSSÁRIO DOS TERMOS</t>
  </si>
  <si>
    <t xml:space="preserve">Quantidade de matéria-prima limpa, depois de pré-preparada, filetada, desossada, etc.</t>
  </si>
  <si>
    <t xml:space="preserve">Quantidade necessária para produzir a receita, considerando as perdas no pré-preparo.</t>
  </si>
  <si>
    <t xml:space="preserve">Índice de aproveitamento do ingrediente (ex.: 0,85 = 85% aproveitado, 15% de perda). Digite em decimal.</t>
  </si>
  <si>
    <t xml:space="preserve">Custo Bruto Unitário</t>
  </si>
  <si>
    <t xml:space="preserve">Preço de compra por unidade do ingrediente (ex.: R$/kg para sólidos, R$/L para líquidos).</t>
  </si>
  <si>
    <t xml:space="preserve">Custo Total do Ingrediente</t>
  </si>
  <si>
    <t xml:space="preserve">Custo Bruto Unitário × Qtd. Bruta — calculado automaticamente pela planilha.</t>
  </si>
  <si>
    <t xml:space="preserve">CMV (Custo dos Materiais Vendidos)</t>
  </si>
  <si>
    <t xml:space="preserve">Reúne o custo direto de todas as matérias-primas do produto, inclusive embalagem se houver.</t>
  </si>
  <si>
    <t xml:space="preserve">Preço de Venda por Receita</t>
  </si>
  <si>
    <t xml:space="preserve">Calculado dividindo o custo total pelo CMV projetado. Ex.: custo R$11,31 ÷ 25% = R$45,24.</t>
  </si>
  <si>
    <t xml:space="preserve">Preço de Venda por Porção</t>
  </si>
  <si>
    <t xml:space="preserve">Preço de venda da receita dividido pelo número de porções previstas.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</si>
</sst>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&quot;R$ &quot;#,##0.00"/>
    <numFmt numFmtId="167" formatCode="#,##0.000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D5C2A"/>
        <bgColor rgb="FF2E7D32"/>
      </patternFill>
    </fill>
    <fill>
      <patternFill patternType="solid">
        <fgColor rgb="FFE8F5E9"/>
        <bgColor rgb="FFF1F8F1"/>
      </patternFill>
    </fill>
    <fill>
      <patternFill patternType="solid">
        <fgColor rgb="FFF9FBF9"/>
        <bgColor rgb="FFF8FBFF"/>
      </patternFill>
    </fill>
    <fill>
      <patternFill patternType="solid">
        <fgColor rgb="FF2E7D32"/>
        <bgColor rgb="FF388E3C"/>
      </patternFill>
    </fill>
    <fill>
      <patternFill patternType="solid">
        <fgColor rgb="FFE3F2FD"/>
        <bgColor rgb="FFE8F5E9"/>
      </patternFill>
    </fill>
    <fill>
      <patternFill patternType="solid">
        <fgColor rgb="FFF8FBFF"/>
        <bgColor rgb="FFF9FBF9"/>
      </patternFill>
    </fill>
    <fill>
      <patternFill patternType="solid">
        <fgColor rgb="FFDDDDDD"/>
        <bgColor rgb="FFD7E8D7"/>
      </patternFill>
    </fill>
    <fill>
      <patternFill patternType="solid">
        <fgColor rgb="FFC8E6C9"/>
        <bgColor rgb="FFD7E8D7"/>
      </patternFill>
    </fill>
    <fill>
      <patternFill patternType="solid">
        <fgColor rgb="FFFFF9C4"/>
        <bgColor rgb="FFF1F8F1"/>
      </patternFill>
    </fill>
    <fill>
      <patternFill patternType="solid">
        <fgColor rgb="FFF1F8F2"/>
        <bgColor rgb="FFF1F8F1"/>
      </patternFill>
    </fill>
    <fill>
      <patternFill patternType="solid">
        <fgColor rgb="FF388E3C"/>
        <bgColor rgb="FF2E7D32"/>
      </patternFill>
    </fill>
    <fill>
      <patternFill patternType="solid">
        <fgColor rgb="FFFFFFFF"/>
        <bgColor rgb="FFF8FBFF"/>
      </patternFill>
    </fill>
    <fill>
      <patternFill patternType="solid">
        <fgColor rgb="FFD7E8D7"/>
        <bgColor rgb="FFDDDDDD"/>
      </patternFill>
    </fill>
    <fill>
      <patternFill patternType="solid">
        <fgColor rgb="FFF5F5F5"/>
        <bgColor rgb="FFF1F8F2"/>
      </patternFill>
    </fill>
    <fill>
      <patternFill patternType="solid">
        <fgColor rgb="FFF1F8F1"/>
        <bgColor rgb="FFF1F8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88E3C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0D47A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9FBF9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9FBF9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7E8D7"/>
      <rgbColor rgb="FFF1F8F1"/>
      <rgbColor rgb="FFC8E6C9"/>
      <rgbColor rgb="FFF1F8F2"/>
      <rgbColor rgb="FFF8FBFF"/>
      <rgbColor rgb="FFF5F5F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47A1"/>
      <rgbColor rgb="FF388E3C"/>
      <rgbColor rgb="FF003300"/>
      <rgbColor rgb="FF333300"/>
      <rgbColor rgb="FF993300"/>
      <rgbColor rgb="FF993366"/>
      <rgbColor rgb="FF333399"/>
      <rgbColor rgb="FF1D5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ngredientes" displayName="Ingredientes" ref="A45:H62" headerRowCount="1" totalsRowCount="0" totalsRowShown="0">
  <autoFilter ref="A45:H62"/>
  <tableColumns count="8">
    <tableColumn id="1" name="Ingredientes"/>
    <tableColumn id="2" name="Qtd. Líquida"/>
    <tableColumn id="3" name="Und."/>
    <tableColumn id="4" name="Aprov. (%)"/>
    <tableColumn id="5" name="Qtd. Bruta"/>
    <tableColumn id="6" name="Custo Bruto Unitário (R$)"/>
    <tableColumn id="7" name="Custo Total (R$)"/>
    <tableColumn id="8" name="Observaçõ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L88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1" outlineLevelCol="0"/>
  <cols>
    <col collapsed="false" customWidth="true" hidden="false" outlineLevel="0" max="1" min="1" style="0" width="36"/>
    <col collapsed="false" customWidth="true" hidden="false" outlineLevel="0" max="2" min="2" style="0" width="13"/>
    <col collapsed="false" customWidth="true" hidden="false" outlineLevel="0" max="4" min="3" style="0" width="9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8" min="7" style="0" width="22"/>
    <col collapsed="false" customWidth="true" hidden="false" outlineLevel="0" max="9" min="9" style="0" width="6"/>
    <col collapsed="false" customWidth="true" hidden="false" outlineLevel="0" max="10" min="10" style="0" width="22"/>
    <col collapsed="false" customWidth="true" hidden="false" outlineLevel="0" max="11" min="11" style="0" width="4"/>
    <col collapsed="false" customWidth="true" hidden="false" outlineLevel="0" max="12" min="12" style="0" width="1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1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8" hidden="false" customHeight="true" outlineLevel="1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8" hidden="false" customHeight="true" outlineLevel="1" collapsed="false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8" hidden="false" customHeight="true" outlineLevel="1" collapsed="false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8" hidden="false" customHeight="true" outlineLevel="1" collapsed="false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8" hidden="false" customHeight="true" outlineLevel="1" collapsed="false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18" hidden="false" customHeight="true" outlineLevel="1" collapsed="false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8" hidden="false" customHeight="true" outlineLevel="1" collapsed="false">
      <c r="A9" s="3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8" hidden="false" customHeight="true" outlineLevel="1" collapsed="false">
      <c r="A10" s="2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8" hidden="false" customHeight="true" outlineLevel="1" collapsed="false">
      <c r="A11" s="3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8" hidden="false" customHeight="true" outlineLevel="1" collapsed="false">
      <c r="A12" s="2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8" hidden="false" customHeight="true" outlineLevel="1" collapsed="false">
      <c r="A13" s="3" t="s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8" hidden="false" customHeight="true" outlineLevel="1" collapsed="false">
      <c r="A14" s="2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8" hidden="false" customHeight="true" outlineLevel="1" collapsed="false">
      <c r="A15" s="3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8" hidden="false" customHeight="true" outlineLevel="1" collapsed="false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8" hidden="false" customHeight="true" outlineLevel="1" collapsed="false">
      <c r="A17" s="3" t="s">
        <v>14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8" hidden="false" customHeight="true" outlineLevel="1" collapsed="false">
      <c r="A18" s="2" t="s">
        <v>14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8" hidden="false" customHeight="true" outlineLevel="1" collapsed="false">
      <c r="A19" s="3" t="s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8" hidden="false" customHeight="true" outlineLevel="1" collapsed="false">
      <c r="A20" s="2" t="s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8" hidden="false" customHeight="true" outlineLevel="1" collapsed="false">
      <c r="A21" s="3" t="s">
        <v>14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8" hidden="false" customHeight="true" outlineLevel="1" collapsed="false">
      <c r="A22" s="2" t="s">
        <v>14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24" hidden="false" customHeight="true" outlineLevel="0" collapsed="false">
      <c r="A23" s="4" t="s">
        <v>16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8" hidden="false" customHeight="true" outlineLevel="1" collapsed="false">
      <c r="A24" s="5" t="s">
        <v>17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18" hidden="false" customHeight="true" outlineLevel="1" collapsed="false">
      <c r="A25" s="6" t="s">
        <v>18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customFormat="false" ht="18" hidden="false" customHeight="true" outlineLevel="1" collapsed="false">
      <c r="A26" s="5" t="s">
        <v>19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customFormat="false" ht="18" hidden="false" customHeight="true" outlineLevel="1" collapsed="false">
      <c r="A27" s="6" t="s">
        <v>20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customFormat="false" ht="18" hidden="false" customHeight="true" outlineLevel="1" collapsed="false">
      <c r="A28" s="5" t="s">
        <v>14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customFormat="false" ht="18" hidden="false" customHeight="true" outlineLevel="1" collapsed="false">
      <c r="A29" s="6" t="s">
        <v>21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customFormat="false" ht="18" hidden="false" customHeight="true" outlineLevel="1" collapsed="false">
      <c r="A30" s="5" t="s">
        <v>22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customFormat="false" ht="18" hidden="false" customHeight="true" outlineLevel="1" collapsed="false">
      <c r="A31" s="6" t="s">
        <v>23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customFormat="false" ht="18" hidden="false" customHeight="true" outlineLevel="1" collapsed="false">
      <c r="A32" s="5" t="s">
        <v>24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customFormat="false" ht="18" hidden="false" customHeight="true" outlineLevel="1" collapsed="false">
      <c r="A33" s="6" t="s">
        <v>25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8" hidden="false" customHeight="true" outlineLevel="1" collapsed="false">
      <c r="A34" s="5" t="s">
        <v>26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customFormat="false" ht="18" hidden="false" customHeight="true" outlineLevel="1" collapsed="false">
      <c r="A35" s="6" t="s">
        <v>27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customFormat="false" ht="18" hidden="false" customHeight="true" outlineLevel="1" collapsed="false">
      <c r="A36" s="5" t="s">
        <v>28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customFormat="false" ht="18" hidden="false" customHeight="true" outlineLevel="1" collapsed="false">
      <c r="A37" s="6" t="s">
        <v>14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customFormat="false" ht="18" hidden="false" customHeight="true" outlineLevel="1" collapsed="false">
      <c r="A38" s="5" t="s">
        <v>29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customFormat="false" ht="7.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customFormat="false" ht="30" hidden="false" customHeight="true" outlineLevel="0" collapsed="false">
      <c r="A40" s="8" t="s">
        <v>30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customFormat="false" ht="21.75" hidden="false" customHeight="true" outlineLevel="0" collapsed="false">
      <c r="A41" s="9" t="s">
        <v>31</v>
      </c>
      <c r="B41" s="10"/>
      <c r="C41" s="10"/>
      <c r="D41" s="10"/>
      <c r="E41" s="10"/>
      <c r="F41" s="9" t="s">
        <v>32</v>
      </c>
      <c r="G41" s="11" t="n">
        <v>0.25</v>
      </c>
      <c r="H41" s="9" t="s">
        <v>33</v>
      </c>
      <c r="I41" s="9"/>
      <c r="J41" s="12" t="n">
        <f aca="false">IFERROR(G63/G41,"")</f>
        <v>0</v>
      </c>
      <c r="K41" s="13"/>
      <c r="L41" s="13"/>
    </row>
    <row r="42" customFormat="false" ht="21.75" hidden="false" customHeight="true" outlineLevel="0" collapsed="false">
      <c r="A42" s="14" t="s">
        <v>34</v>
      </c>
      <c r="B42" s="15"/>
      <c r="C42" s="15"/>
      <c r="D42" s="14" t="s">
        <v>35</v>
      </c>
      <c r="E42" s="15" t="s">
        <v>36</v>
      </c>
      <c r="F42" s="14" t="s">
        <v>37</v>
      </c>
      <c r="G42" s="14"/>
      <c r="H42" s="14" t="s">
        <v>37</v>
      </c>
      <c r="I42" s="14"/>
      <c r="J42" s="12" t="str">
        <f aca="false">IFERROR(J41/B43,"")</f>
        <v/>
      </c>
      <c r="K42" s="16"/>
      <c r="L42" s="16"/>
    </row>
    <row r="43" customFormat="false" ht="21.75" hidden="false" customHeight="true" outlineLevel="0" collapsed="false">
      <c r="A43" s="9" t="s">
        <v>38</v>
      </c>
      <c r="B43" s="17"/>
      <c r="C43" s="18" t="s">
        <v>39</v>
      </c>
      <c r="D43" s="13"/>
      <c r="E43" s="13"/>
      <c r="F43" s="9" t="s">
        <v>40</v>
      </c>
      <c r="G43" s="9"/>
      <c r="H43" s="9" t="s">
        <v>40</v>
      </c>
      <c r="I43" s="9"/>
      <c r="J43" s="12" t="str">
        <f aca="false">IFERROR(G63/B43,"")</f>
        <v/>
      </c>
      <c r="K43" s="13"/>
      <c r="L43" s="13"/>
    </row>
    <row r="44" customFormat="false" ht="21.75" hidden="false" customHeight="true" outlineLevel="0" collapsed="false">
      <c r="A44" s="14" t="s">
        <v>41</v>
      </c>
      <c r="B44" s="17"/>
      <c r="C44" s="19" t="s">
        <v>42</v>
      </c>
      <c r="D44" s="16"/>
      <c r="E44" s="16"/>
      <c r="F44" s="14" t="s">
        <v>43</v>
      </c>
      <c r="G44" s="14"/>
      <c r="H44" s="14" t="s">
        <v>43</v>
      </c>
      <c r="I44" s="14"/>
      <c r="J44" s="12" t="n">
        <f aca="false">G63</f>
        <v>0</v>
      </c>
      <c r="K44" s="16"/>
      <c r="L44" s="16"/>
    </row>
    <row r="45" customFormat="false" ht="24" hidden="false" customHeight="true" outlineLevel="0" collapsed="false">
      <c r="A45" s="20" t="s">
        <v>44</v>
      </c>
      <c r="B45" s="20" t="s">
        <v>45</v>
      </c>
      <c r="C45" s="20" t="s">
        <v>46</v>
      </c>
      <c r="D45" s="20" t="s">
        <v>47</v>
      </c>
      <c r="E45" s="20" t="s">
        <v>48</v>
      </c>
      <c r="F45" s="20" t="s">
        <v>49</v>
      </c>
      <c r="G45" s="20" t="s">
        <v>50</v>
      </c>
      <c r="H45" s="20" t="s">
        <v>51</v>
      </c>
    </row>
    <row r="46" customFormat="false" ht="19.5" hidden="false" customHeight="true" outlineLevel="0" collapsed="false">
      <c r="A46" s="15"/>
      <c r="B46" s="21"/>
      <c r="C46" s="17" t="s">
        <v>52</v>
      </c>
      <c r="D46" s="22" t="n">
        <v>1</v>
      </c>
      <c r="E46" s="23" t="n">
        <f aca="false">IFERROR(B46/D46,"")</f>
        <v>0</v>
      </c>
      <c r="F46" s="24"/>
      <c r="G46" s="25" t="n">
        <f aca="false">IFERROR(F46*E46,"")</f>
        <v>0</v>
      </c>
      <c r="H46" s="26"/>
      <c r="I46" s="27"/>
      <c r="J46" s="27"/>
      <c r="K46" s="27"/>
      <c r="L46" s="27"/>
    </row>
    <row r="47" customFormat="false" ht="19.5" hidden="false" customHeight="true" outlineLevel="0" collapsed="false">
      <c r="A47" s="15"/>
      <c r="B47" s="21"/>
      <c r="C47" s="17" t="s">
        <v>52</v>
      </c>
      <c r="D47" s="22" t="n">
        <v>1</v>
      </c>
      <c r="E47" s="28" t="n">
        <f aca="false">IFERROR(B47/D47,"")</f>
        <v>0</v>
      </c>
      <c r="F47" s="24"/>
      <c r="G47" s="29" t="n">
        <f aca="false">IFERROR(F47*E47,"")</f>
        <v>0</v>
      </c>
      <c r="H47" s="30"/>
      <c r="I47" s="31"/>
      <c r="J47" s="31"/>
      <c r="K47" s="31"/>
      <c r="L47" s="31"/>
    </row>
    <row r="48" customFormat="false" ht="19.5" hidden="false" customHeight="true" outlineLevel="0" collapsed="false">
      <c r="A48" s="15"/>
      <c r="B48" s="21"/>
      <c r="C48" s="17" t="s">
        <v>52</v>
      </c>
      <c r="D48" s="22" t="n">
        <v>1</v>
      </c>
      <c r="E48" s="23" t="n">
        <f aca="false">IFERROR(B48/D48,"")</f>
        <v>0</v>
      </c>
      <c r="F48" s="24"/>
      <c r="G48" s="25" t="n">
        <f aca="false">IFERROR(F48*E48,"")</f>
        <v>0</v>
      </c>
      <c r="H48" s="26"/>
      <c r="I48" s="27"/>
      <c r="J48" s="27"/>
      <c r="K48" s="27"/>
      <c r="L48" s="27"/>
    </row>
    <row r="49" customFormat="false" ht="19.5" hidden="false" customHeight="true" outlineLevel="0" collapsed="false">
      <c r="A49" s="15"/>
      <c r="B49" s="21"/>
      <c r="C49" s="17" t="s">
        <v>52</v>
      </c>
      <c r="D49" s="22" t="n">
        <v>1</v>
      </c>
      <c r="E49" s="28" t="n">
        <f aca="false">IFERROR(B49/D49,"")</f>
        <v>0</v>
      </c>
      <c r="F49" s="24"/>
      <c r="G49" s="29" t="n">
        <f aca="false">IFERROR(F49*E49,"")</f>
        <v>0</v>
      </c>
      <c r="H49" s="30"/>
      <c r="I49" s="31"/>
      <c r="J49" s="31"/>
      <c r="K49" s="31"/>
      <c r="L49" s="31"/>
    </row>
    <row r="50" customFormat="false" ht="19.5" hidden="false" customHeight="true" outlineLevel="0" collapsed="false">
      <c r="A50" s="15"/>
      <c r="B50" s="21"/>
      <c r="C50" s="17" t="s">
        <v>52</v>
      </c>
      <c r="D50" s="22" t="n">
        <v>1</v>
      </c>
      <c r="E50" s="23" t="n">
        <f aca="false">IFERROR(B50/D50,"")</f>
        <v>0</v>
      </c>
      <c r="F50" s="24"/>
      <c r="G50" s="25" t="n">
        <f aca="false">IFERROR(F50*E50,"")</f>
        <v>0</v>
      </c>
      <c r="H50" s="26"/>
      <c r="I50" s="27"/>
      <c r="J50" s="27"/>
      <c r="K50" s="27"/>
      <c r="L50" s="27"/>
    </row>
    <row r="51" customFormat="false" ht="19.5" hidden="false" customHeight="true" outlineLevel="0" collapsed="false">
      <c r="A51" s="15"/>
      <c r="B51" s="21"/>
      <c r="C51" s="17" t="s">
        <v>52</v>
      </c>
      <c r="D51" s="22" t="n">
        <v>1</v>
      </c>
      <c r="E51" s="28" t="n">
        <f aca="false">IFERROR(B51/D51,"")</f>
        <v>0</v>
      </c>
      <c r="F51" s="24"/>
      <c r="G51" s="29" t="n">
        <f aca="false">IFERROR(F51*E51,"")</f>
        <v>0</v>
      </c>
      <c r="H51" s="30"/>
      <c r="I51" s="31"/>
      <c r="J51" s="31"/>
      <c r="K51" s="31"/>
      <c r="L51" s="31"/>
    </row>
    <row r="52" customFormat="false" ht="19.5" hidden="false" customHeight="true" outlineLevel="0" collapsed="false">
      <c r="A52" s="15"/>
      <c r="B52" s="21"/>
      <c r="C52" s="17" t="s">
        <v>52</v>
      </c>
      <c r="D52" s="22" t="n">
        <v>1</v>
      </c>
      <c r="E52" s="23" t="n">
        <f aca="false">IFERROR(B52/D52,"")</f>
        <v>0</v>
      </c>
      <c r="F52" s="24"/>
      <c r="G52" s="25" t="n">
        <f aca="false">IFERROR(F52*E52,"")</f>
        <v>0</v>
      </c>
      <c r="H52" s="26"/>
      <c r="I52" s="27"/>
      <c r="J52" s="27"/>
      <c r="K52" s="27"/>
      <c r="L52" s="27"/>
    </row>
    <row r="53" customFormat="false" ht="19.5" hidden="false" customHeight="true" outlineLevel="0" collapsed="false">
      <c r="A53" s="15"/>
      <c r="B53" s="21"/>
      <c r="C53" s="17" t="s">
        <v>52</v>
      </c>
      <c r="D53" s="22" t="n">
        <v>1</v>
      </c>
      <c r="E53" s="28" t="n">
        <f aca="false">IFERROR(B53/D53,"")</f>
        <v>0</v>
      </c>
      <c r="F53" s="24"/>
      <c r="G53" s="29" t="n">
        <f aca="false">IFERROR(F53*E53,"")</f>
        <v>0</v>
      </c>
      <c r="H53" s="30"/>
      <c r="I53" s="31"/>
      <c r="J53" s="31"/>
      <c r="K53" s="31"/>
      <c r="L53" s="31"/>
    </row>
    <row r="54" customFormat="false" ht="19.5" hidden="false" customHeight="true" outlineLevel="0" collapsed="false">
      <c r="A54" s="15"/>
      <c r="B54" s="21"/>
      <c r="C54" s="17" t="s">
        <v>52</v>
      </c>
      <c r="D54" s="22" t="n">
        <v>1</v>
      </c>
      <c r="E54" s="23" t="n">
        <f aca="false">IFERROR(B54/D54,"")</f>
        <v>0</v>
      </c>
      <c r="F54" s="24"/>
      <c r="G54" s="25" t="n">
        <f aca="false">IFERROR(F54*E54,"")</f>
        <v>0</v>
      </c>
      <c r="H54" s="26"/>
      <c r="I54" s="27"/>
      <c r="J54" s="27"/>
      <c r="K54" s="27"/>
      <c r="L54" s="27"/>
    </row>
    <row r="55" customFormat="false" ht="19.5" hidden="false" customHeight="true" outlineLevel="0" collapsed="false">
      <c r="A55" s="15"/>
      <c r="B55" s="21"/>
      <c r="C55" s="17" t="s">
        <v>52</v>
      </c>
      <c r="D55" s="22" t="n">
        <v>1</v>
      </c>
      <c r="E55" s="28" t="n">
        <f aca="false">IFERROR(B55/D55,"")</f>
        <v>0</v>
      </c>
      <c r="F55" s="24"/>
      <c r="G55" s="29" t="n">
        <f aca="false">IFERROR(F55*E55,"")</f>
        <v>0</v>
      </c>
      <c r="H55" s="30"/>
      <c r="I55" s="31"/>
      <c r="J55" s="31"/>
      <c r="K55" s="31"/>
      <c r="L55" s="31"/>
    </row>
    <row r="56" customFormat="false" ht="19.5" hidden="false" customHeight="true" outlineLevel="0" collapsed="false">
      <c r="A56" s="15"/>
      <c r="B56" s="21"/>
      <c r="C56" s="17" t="s">
        <v>52</v>
      </c>
      <c r="D56" s="22" t="n">
        <v>1</v>
      </c>
      <c r="E56" s="23" t="n">
        <f aca="false">IFERROR(B56/D56,"")</f>
        <v>0</v>
      </c>
      <c r="F56" s="24"/>
      <c r="G56" s="25" t="n">
        <f aca="false">IFERROR(F56*E56,"")</f>
        <v>0</v>
      </c>
      <c r="H56" s="26"/>
      <c r="I56" s="27"/>
      <c r="J56" s="27"/>
      <c r="K56" s="27"/>
      <c r="L56" s="27"/>
    </row>
    <row r="57" customFormat="false" ht="19.5" hidden="false" customHeight="true" outlineLevel="0" collapsed="false">
      <c r="A57" s="15"/>
      <c r="B57" s="21"/>
      <c r="C57" s="17" t="s">
        <v>52</v>
      </c>
      <c r="D57" s="22" t="n">
        <v>1</v>
      </c>
      <c r="E57" s="28" t="n">
        <f aca="false">IFERROR(B57/D57,"")</f>
        <v>0</v>
      </c>
      <c r="F57" s="24"/>
      <c r="G57" s="29" t="n">
        <f aca="false">IFERROR(F57*E57,"")</f>
        <v>0</v>
      </c>
      <c r="H57" s="30"/>
      <c r="I57" s="31"/>
      <c r="J57" s="31"/>
      <c r="K57" s="31"/>
      <c r="L57" s="31"/>
    </row>
    <row r="58" customFormat="false" ht="19.5" hidden="false" customHeight="true" outlineLevel="0" collapsed="false">
      <c r="A58" s="15"/>
      <c r="B58" s="21"/>
      <c r="C58" s="17" t="s">
        <v>52</v>
      </c>
      <c r="D58" s="22" t="n">
        <v>1</v>
      </c>
      <c r="E58" s="23" t="n">
        <f aca="false">IFERROR(B58/D58,"")</f>
        <v>0</v>
      </c>
      <c r="F58" s="24"/>
      <c r="G58" s="25" t="n">
        <f aca="false">IFERROR(F58*E58,"")</f>
        <v>0</v>
      </c>
      <c r="H58" s="26"/>
      <c r="I58" s="27"/>
      <c r="J58" s="27"/>
      <c r="K58" s="27"/>
      <c r="L58" s="27"/>
    </row>
    <row r="59" customFormat="false" ht="19.5" hidden="false" customHeight="true" outlineLevel="0" collapsed="false">
      <c r="A59" s="15"/>
      <c r="B59" s="21"/>
      <c r="C59" s="17" t="s">
        <v>52</v>
      </c>
      <c r="D59" s="22" t="n">
        <v>1</v>
      </c>
      <c r="E59" s="28" t="n">
        <f aca="false">IFERROR(B59/D59,"")</f>
        <v>0</v>
      </c>
      <c r="F59" s="24"/>
      <c r="G59" s="29" t="n">
        <f aca="false">IFERROR(F59*E59,"")</f>
        <v>0</v>
      </c>
      <c r="H59" s="30"/>
      <c r="I59" s="31"/>
      <c r="J59" s="31"/>
      <c r="K59" s="31"/>
      <c r="L59" s="31"/>
    </row>
    <row r="60" customFormat="false" ht="19.5" hidden="false" customHeight="true" outlineLevel="0" collapsed="false">
      <c r="A60" s="15"/>
      <c r="B60" s="21"/>
      <c r="C60" s="17" t="s">
        <v>52</v>
      </c>
      <c r="D60" s="22" t="n">
        <v>1</v>
      </c>
      <c r="E60" s="23" t="n">
        <f aca="false">IFERROR(B60/D60,"")</f>
        <v>0</v>
      </c>
      <c r="F60" s="24"/>
      <c r="G60" s="25" t="n">
        <f aca="false">IFERROR(F60*E60,"")</f>
        <v>0</v>
      </c>
      <c r="H60" s="26"/>
      <c r="I60" s="27"/>
      <c r="J60" s="27"/>
      <c r="K60" s="27"/>
      <c r="L60" s="27"/>
    </row>
    <row r="61" customFormat="false" ht="19.5" hidden="false" customHeight="true" outlineLevel="0" collapsed="false">
      <c r="A61" s="15"/>
      <c r="B61" s="21"/>
      <c r="C61" s="17" t="s">
        <v>52</v>
      </c>
      <c r="D61" s="22" t="n">
        <v>1</v>
      </c>
      <c r="E61" s="28" t="n">
        <f aca="false">IFERROR(B61/D61,"")</f>
        <v>0</v>
      </c>
      <c r="F61" s="24"/>
      <c r="G61" s="29" t="n">
        <f aca="false">IFERROR(F61*E61,"")</f>
        <v>0</v>
      </c>
      <c r="H61" s="30"/>
      <c r="I61" s="31"/>
      <c r="J61" s="31"/>
      <c r="K61" s="31"/>
      <c r="L61" s="31"/>
    </row>
    <row r="62" customFormat="false" ht="19.5" hidden="false" customHeight="true" outlineLevel="0" collapsed="false">
      <c r="A62" s="15"/>
      <c r="B62" s="21"/>
      <c r="C62" s="17" t="s">
        <v>52</v>
      </c>
      <c r="D62" s="22" t="n">
        <v>1</v>
      </c>
      <c r="E62" s="23" t="n">
        <f aca="false">IFERROR(B62/D62,"")</f>
        <v>0</v>
      </c>
      <c r="F62" s="24"/>
      <c r="G62" s="25" t="n">
        <f aca="false">IFERROR(F62*E62,"")</f>
        <v>0</v>
      </c>
      <c r="H62" s="26"/>
      <c r="I62" s="27"/>
      <c r="J62" s="27"/>
      <c r="K62" s="27"/>
      <c r="L62" s="27"/>
    </row>
    <row r="63" customFormat="false" ht="25.5" hidden="false" customHeight="true" outlineLevel="0" collapsed="false">
      <c r="A63" s="32" t="s">
        <v>53</v>
      </c>
      <c r="B63" s="32"/>
      <c r="C63" s="32"/>
      <c r="D63" s="32"/>
      <c r="E63" s="32"/>
      <c r="F63" s="32"/>
      <c r="G63" s="33" t="n">
        <f aca="false">SUMIF(G46:G62,"&gt;0")</f>
        <v>0</v>
      </c>
      <c r="H63" s="34"/>
      <c r="I63" s="34"/>
      <c r="J63" s="34"/>
      <c r="K63" s="34"/>
      <c r="L63" s="34"/>
    </row>
    <row r="64" customFormat="false" ht="21.75" hidden="false" customHeight="true" outlineLevel="0" collapsed="false">
      <c r="A64" s="35" t="s">
        <v>54</v>
      </c>
      <c r="B64" s="35"/>
      <c r="C64" s="35"/>
      <c r="D64" s="35"/>
      <c r="E64" s="35"/>
      <c r="F64" s="35" t="s">
        <v>55</v>
      </c>
      <c r="G64" s="35"/>
      <c r="H64" s="15"/>
      <c r="I64" s="15"/>
      <c r="J64" s="15"/>
      <c r="K64" s="15"/>
      <c r="L64" s="15"/>
    </row>
    <row r="65" customFormat="false" ht="21.75" hidden="false" customHeight="true" outlineLevel="0" collapsed="false">
      <c r="A65" s="36" t="s">
        <v>56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</row>
    <row r="66" customFormat="false" ht="21.75" hidden="false" customHeight="true" outlineLevel="0" collapsed="false">
      <c r="A66" s="37" t="s">
        <v>57</v>
      </c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</row>
    <row r="67" customFormat="false" ht="21.75" hidden="false" customHeight="true" outlineLevel="0" collapsed="false">
      <c r="A67" s="36" t="s">
        <v>58</v>
      </c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customFormat="false" ht="21.75" hidden="false" customHeight="true" outlineLevel="0" collapsed="false">
      <c r="A68" s="37" t="s">
        <v>59</v>
      </c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</row>
    <row r="69" customFormat="false" ht="21.75" hidden="false" customHeight="true" outlineLevel="0" collapsed="false">
      <c r="A69" s="36" t="s">
        <v>60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 customFormat="false" ht="21.75" hidden="false" customHeight="true" outlineLevel="0" collapsed="false">
      <c r="A70" s="37" t="s">
        <v>61</v>
      </c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</row>
    <row r="71" customFormat="false" ht="21.75" hidden="false" customHeight="true" outlineLevel="0" collapsed="false">
      <c r="A71" s="36" t="s">
        <v>62</v>
      </c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3" customFormat="false" ht="21.75" hidden="false" customHeight="true" outlineLevel="0" collapsed="false">
      <c r="A73" s="35" t="s">
        <v>63</v>
      </c>
      <c r="B73" s="35"/>
      <c r="C73" s="35"/>
      <c r="D73" s="35"/>
      <c r="E73" s="38" t="s">
        <v>64</v>
      </c>
      <c r="F73" s="38" t="s">
        <v>65</v>
      </c>
      <c r="G73" s="38" t="s">
        <v>66</v>
      </c>
      <c r="H73" s="39"/>
      <c r="I73" s="39"/>
      <c r="J73" s="39"/>
      <c r="K73" s="39"/>
      <c r="L73" s="39"/>
    </row>
    <row r="74" customFormat="false" ht="19.5" hidden="false" customHeight="true" outlineLevel="0" collapsed="false">
      <c r="A74" s="40" t="s">
        <v>67</v>
      </c>
      <c r="B74" s="40"/>
      <c r="C74" s="40"/>
      <c r="D74" s="40"/>
      <c r="E74" s="41" t="n">
        <v>0.25</v>
      </c>
      <c r="F74" s="42" t="n">
        <f aca="false">IFERROR(G63/0.25,"")</f>
        <v>0</v>
      </c>
      <c r="G74" s="42" t="str">
        <f aca="false">IFERROR(G63/0.25/B43,"")</f>
        <v/>
      </c>
      <c r="H74" s="43"/>
      <c r="I74" s="43"/>
      <c r="J74" s="43"/>
      <c r="K74" s="43"/>
      <c r="L74" s="43"/>
    </row>
    <row r="75" customFormat="false" ht="19.5" hidden="false" customHeight="true" outlineLevel="0" collapsed="false">
      <c r="A75" s="30" t="s">
        <v>68</v>
      </c>
      <c r="B75" s="30"/>
      <c r="C75" s="30"/>
      <c r="D75" s="30"/>
      <c r="E75" s="44" t="n">
        <v>0.3</v>
      </c>
      <c r="F75" s="29" t="n">
        <f aca="false">IFERROR(G63/0.3,"")</f>
        <v>0</v>
      </c>
      <c r="G75" s="29" t="str">
        <f aca="false">IFERROR(G63/0.3/B43,"")</f>
        <v/>
      </c>
      <c r="H75" s="31"/>
      <c r="I75" s="31"/>
      <c r="J75" s="31"/>
      <c r="K75" s="31"/>
      <c r="L75" s="31"/>
    </row>
    <row r="76" customFormat="false" ht="19.5" hidden="false" customHeight="true" outlineLevel="0" collapsed="false">
      <c r="A76" s="40" t="s">
        <v>69</v>
      </c>
      <c r="B76" s="40"/>
      <c r="C76" s="40"/>
      <c r="D76" s="40"/>
      <c r="E76" s="41" t="n">
        <v>0.35</v>
      </c>
      <c r="F76" s="42" t="n">
        <f aca="false">IFERROR(G63/0.35,"")</f>
        <v>0</v>
      </c>
      <c r="G76" s="42" t="str">
        <f aca="false">IFERROR(G63/0.35/B43,"")</f>
        <v/>
      </c>
      <c r="H76" s="43"/>
      <c r="I76" s="43"/>
      <c r="J76" s="43"/>
      <c r="K76" s="43"/>
      <c r="L76" s="43"/>
    </row>
    <row r="77" customFormat="false" ht="19.5" hidden="false" customHeight="true" outlineLevel="0" collapsed="false">
      <c r="A77" s="30" t="s">
        <v>70</v>
      </c>
      <c r="B77" s="30"/>
      <c r="C77" s="30"/>
      <c r="D77" s="30"/>
      <c r="E77" s="44" t="n">
        <v>0.4</v>
      </c>
      <c r="F77" s="29" t="n">
        <f aca="false">IFERROR(G63/0.4,"")</f>
        <v>0</v>
      </c>
      <c r="G77" s="29" t="str">
        <f aca="false">IFERROR(G63/0.4/B43,"")</f>
        <v/>
      </c>
      <c r="H77" s="31"/>
      <c r="I77" s="31"/>
      <c r="J77" s="31"/>
      <c r="K77" s="31"/>
      <c r="L77" s="31"/>
    </row>
    <row r="78" customFormat="false" ht="19.5" hidden="false" customHeight="true" outlineLevel="0" collapsed="false">
      <c r="A78" s="40" t="s">
        <v>71</v>
      </c>
      <c r="B78" s="40"/>
      <c r="C78" s="40"/>
      <c r="D78" s="40"/>
      <c r="E78" s="41" t="n">
        <v>0.45</v>
      </c>
      <c r="F78" s="42" t="n">
        <f aca="false">IFERROR(G63/0.45,"")</f>
        <v>0</v>
      </c>
      <c r="G78" s="42" t="str">
        <f aca="false">IFERROR(G63/0.45/B43,"")</f>
        <v/>
      </c>
      <c r="H78" s="43"/>
      <c r="I78" s="43"/>
      <c r="J78" s="43"/>
      <c r="K78" s="43"/>
      <c r="L78" s="43"/>
    </row>
    <row r="80" customFormat="false" ht="21.75" hidden="false" customHeight="true" outlineLevel="0" collapsed="false">
      <c r="A80" s="1" t="s">
        <v>72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customFormat="false" ht="19.5" hidden="false" customHeight="true" outlineLevel="0" collapsed="false">
      <c r="A81" s="45" t="s">
        <v>45</v>
      </c>
      <c r="B81" s="40" t="s">
        <v>73</v>
      </c>
      <c r="C81" s="40"/>
      <c r="D81" s="40"/>
      <c r="E81" s="40"/>
      <c r="F81" s="40"/>
      <c r="G81" s="40"/>
      <c r="H81" s="40"/>
      <c r="I81" s="40"/>
      <c r="J81" s="40"/>
      <c r="K81" s="40"/>
      <c r="L81" s="40"/>
    </row>
    <row r="82" customFormat="false" ht="19.5" hidden="false" customHeight="true" outlineLevel="0" collapsed="false">
      <c r="A82" s="46" t="s">
        <v>48</v>
      </c>
      <c r="B82" s="30" t="s">
        <v>74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</row>
    <row r="83" customFormat="false" ht="19.5" hidden="false" customHeight="true" outlineLevel="0" collapsed="false">
      <c r="A83" s="45" t="s">
        <v>47</v>
      </c>
      <c r="B83" s="40" t="s">
        <v>75</v>
      </c>
      <c r="C83" s="40"/>
      <c r="D83" s="40"/>
      <c r="E83" s="40"/>
      <c r="F83" s="40"/>
      <c r="G83" s="40"/>
      <c r="H83" s="40"/>
      <c r="I83" s="40"/>
      <c r="J83" s="40"/>
      <c r="K83" s="40"/>
      <c r="L83" s="40"/>
    </row>
    <row r="84" customFormat="false" ht="19.5" hidden="false" customHeight="true" outlineLevel="0" collapsed="false">
      <c r="A84" s="46" t="s">
        <v>76</v>
      </c>
      <c r="B84" s="30" t="s">
        <v>77</v>
      </c>
      <c r="C84" s="30"/>
      <c r="D84" s="30"/>
      <c r="E84" s="30"/>
      <c r="F84" s="30"/>
      <c r="G84" s="30"/>
      <c r="H84" s="30"/>
      <c r="I84" s="30"/>
      <c r="J84" s="30"/>
      <c r="K84" s="30"/>
      <c r="L84" s="30"/>
    </row>
    <row r="85" customFormat="false" ht="19.5" hidden="false" customHeight="true" outlineLevel="0" collapsed="false">
      <c r="A85" s="45" t="s">
        <v>78</v>
      </c>
      <c r="B85" s="40" t="s">
        <v>79</v>
      </c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customFormat="false" ht="19.5" hidden="false" customHeight="true" outlineLevel="0" collapsed="false">
      <c r="A86" s="46" t="s">
        <v>80</v>
      </c>
      <c r="B86" s="30" t="s">
        <v>81</v>
      </c>
      <c r="C86" s="30"/>
      <c r="D86" s="30"/>
      <c r="E86" s="30"/>
      <c r="F86" s="30"/>
      <c r="G86" s="30"/>
      <c r="H86" s="30"/>
      <c r="I86" s="30"/>
      <c r="J86" s="30"/>
      <c r="K86" s="30"/>
      <c r="L86" s="30"/>
    </row>
    <row r="87" customFormat="false" ht="19.5" hidden="false" customHeight="true" outlineLevel="0" collapsed="false">
      <c r="A87" s="45" t="s">
        <v>82</v>
      </c>
      <c r="B87" s="40" t="s">
        <v>83</v>
      </c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customFormat="false" ht="19.5" hidden="false" customHeight="true" outlineLevel="0" collapsed="false">
      <c r="A88" s="46" t="s">
        <v>84</v>
      </c>
      <c r="B88" s="30" t="s">
        <v>85</v>
      </c>
      <c r="C88" s="30"/>
      <c r="D88" s="30"/>
      <c r="E88" s="30"/>
      <c r="F88" s="30"/>
      <c r="G88" s="30"/>
      <c r="H88" s="30"/>
      <c r="I88" s="30"/>
      <c r="J88" s="30"/>
      <c r="K88" s="30"/>
      <c r="L88" s="30"/>
    </row>
  </sheetData>
  <mergeCells count="74"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  <mergeCell ref="A21:L21"/>
    <mergeCell ref="A22:L22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34:L34"/>
    <mergeCell ref="A35:L35"/>
    <mergeCell ref="A36:L36"/>
    <mergeCell ref="A37:L37"/>
    <mergeCell ref="A38:L38"/>
    <mergeCell ref="A40:L40"/>
    <mergeCell ref="B41:E41"/>
    <mergeCell ref="H41:I41"/>
    <mergeCell ref="B42:C42"/>
    <mergeCell ref="F42:G42"/>
    <mergeCell ref="H42:I42"/>
    <mergeCell ref="F43:G43"/>
    <mergeCell ref="H43:I43"/>
    <mergeCell ref="F44:G44"/>
    <mergeCell ref="H44:I44"/>
    <mergeCell ref="A63:F63"/>
    <mergeCell ref="A64:E64"/>
    <mergeCell ref="F64:G64"/>
    <mergeCell ref="H64:L64"/>
    <mergeCell ref="A65:L65"/>
    <mergeCell ref="A66:L66"/>
    <mergeCell ref="A67:L67"/>
    <mergeCell ref="A68:L68"/>
    <mergeCell ref="A69:L69"/>
    <mergeCell ref="A70:L70"/>
    <mergeCell ref="A71:L71"/>
    <mergeCell ref="A73:D73"/>
    <mergeCell ref="A74:D74"/>
    <mergeCell ref="A75:D75"/>
    <mergeCell ref="A76:D76"/>
    <mergeCell ref="A77:D77"/>
    <mergeCell ref="A78:D78"/>
    <mergeCell ref="A80:L80"/>
    <mergeCell ref="B81:L81"/>
    <mergeCell ref="B82:L82"/>
    <mergeCell ref="B83:L83"/>
    <mergeCell ref="B84:L84"/>
    <mergeCell ref="B85:L85"/>
    <mergeCell ref="B86:L86"/>
    <mergeCell ref="B87:L87"/>
    <mergeCell ref="B88:L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2026-04-10T18:21:01Z</dcterms:created>
  <dc:creator>openpyxl</dc:creator>
  <dc:description/>
  <dc:language>en-US</dc:language>
  <cp:lastModifiedBy/>
  <dcterms:modified xsi:type="dcterms:W3CDTF">2026-04-10T18:21:01Z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