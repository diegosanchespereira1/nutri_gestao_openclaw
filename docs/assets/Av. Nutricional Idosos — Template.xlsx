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ês 202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<sst xmlns="http://schemas.openxmlformats.org/spreadsheetml/2006/main" count="107" uniqueCount="88">
  <si>
    <t xml:space="preserve">AVALIAÇÃO NUTRICIONAL PARA IDOSOS</t>
  </si>
  <si>
    <t xml:space="preserve">Instituição:</t>
  </si>
  <si>
    <t xml:space="preserve">Responsável técnico:</t>
  </si>
  <si>
    <t xml:space="preserve">Mês/Ano:</t>
  </si>
  <si>
    <t xml:space="preserve">LEGENDA DAS COLUNAS E FÓRMULAS UTILIZADAS</t>
  </si>
  <si>
    <t xml:space="preserve">COLUNA</t>
  </si>
  <si>
    <t xml:space="preserve">SIGLA / UNIDADE</t>
  </si>
  <si>
    <t xml:space="preserve">FÓRMULA OU DEFINIÇÃO</t>
  </si>
  <si>
    <t xml:space="preserve">REFERÊNCIA</t>
  </si>
  <si>
    <t xml:space="preserve">Nome do Paciente</t>
  </si>
  <si>
    <t xml:space="preserve">—</t>
  </si>
  <si>
    <t xml:space="preserve">Identificação do paciente — entrada manual</t>
  </si>
  <si>
    <t xml:space="preserve">Idade</t>
  </si>
  <si>
    <t xml:space="preserve">anos</t>
  </si>
  <si>
    <t xml:space="preserve">Entrada manual</t>
  </si>
  <si>
    <t xml:space="preserve">Circunferência do Braço</t>
  </si>
  <si>
    <t xml:space="preserve">CB (cm)</t>
  </si>
  <si>
    <t xml:space="preserve">Medida antropométrica — entrada manual</t>
  </si>
  <si>
    <t xml:space="preserve">OPAS, 2002</t>
  </si>
  <si>
    <t xml:space="preserve">Dobra Cutânea Tricipital</t>
  </si>
  <si>
    <t xml:space="preserve">DCT (mm)</t>
  </si>
  <si>
    <t xml:space="preserve">Circunferência Muscular
do Braço</t>
  </si>
  <si>
    <t xml:space="preserve">CMB (cm)</t>
  </si>
  <si>
    <t xml:space="preserve">CMB = CB − (DCT × 0,314)</t>
  </si>
  <si>
    <t xml:space="preserve">Gurney &amp; Jelliffe, 1973</t>
  </si>
  <si>
    <t xml:space="preserve">Circunferência da
Panturrilha</t>
  </si>
  <si>
    <t xml:space="preserve">CP (cm)</t>
  </si>
  <si>
    <t xml:space="preserve">Altura do Joelho</t>
  </si>
  <si>
    <t xml:space="preserve">AJ (cm)</t>
  </si>
  <si>
    <t xml:space="preserve">Chumlea et al., 1985</t>
  </si>
  <si>
    <t xml:space="preserve">Peso Real</t>
  </si>
  <si>
    <t xml:space="preserve">kg</t>
  </si>
  <si>
    <t xml:space="preserve">Peso aferido em balança — entrada manual (use '–' se não mensurável)</t>
  </si>
  <si>
    <t xml:space="preserve">Peso Estimado —
Mulheres Brancas</t>
  </si>
  <si>
    <t xml:space="preserve">PE (kg)</t>
  </si>
  <si>
    <t xml:space="preserve">PE = (AJ × 1,09) + (CB × 2,68) − 65,51</t>
  </si>
  <si>
    <t xml:space="preserve">Chumlea et al., 1988</t>
  </si>
  <si>
    <t xml:space="preserve">Peso Estimado —
Mulheres Negras</t>
  </si>
  <si>
    <t xml:space="preserve">PE = (AJ × 1,50) + (CB × 2,58) − 84,22</t>
  </si>
  <si>
    <t xml:space="preserve">Peso Estimado —
Homens Brancos</t>
  </si>
  <si>
    <t xml:space="preserve">PE = (AJ × 1,10) + (CB × 3,07) − 75,81</t>
  </si>
  <si>
    <t xml:space="preserve">Peso Estimado —
Homens Negros</t>
  </si>
  <si>
    <t xml:space="preserve">PE = (AJ × 0,44) + (CB × 2,86) − 39,21</t>
  </si>
  <si>
    <t xml:space="preserve">Peso Estimado —
Membro Amputado</t>
  </si>
  <si>
    <t xml:space="preserve">PE_amp (kg)</t>
  </si>
  <si>
    <t xml:space="preserve">PE_amp = PE_base × 100 ÷ (100 − % segmento amputado)
[Ex.: coxa = 10%, perna+pé = 5,9%, pé = 1,8%]</t>
  </si>
  <si>
    <t xml:space="preserve">Osterkamp, 1995</t>
  </si>
  <si>
    <t xml:space="preserve">Altura Estimada —
Mulheres</t>
  </si>
  <si>
    <t xml:space="preserve">H (m)</t>
  </si>
  <si>
    <t xml:space="preserve">H = (84,88 + 1,83 × AJ − 0,24 × Idade) ÷ 100</t>
  </si>
  <si>
    <t xml:space="preserve">Altura Estimada —
Homens</t>
  </si>
  <si>
    <t xml:space="preserve">H = (64,19 + 2,04 × AJ − 0,04 × Idade) ÷ 100</t>
  </si>
  <si>
    <t xml:space="preserve">IMC</t>
  </si>
  <si>
    <t xml:space="preserve">kg/m²</t>
  </si>
  <si>
    <t xml:space="preserve">IMC = PE ÷ Altura²
Amputados: IMC_corr = PE_amp ÷ Altura² × (1 − % segmento)</t>
  </si>
  <si>
    <t xml:space="preserve">OMS / PAHO</t>
  </si>
  <si>
    <t xml:space="preserve">Necessidade Energética</t>
  </si>
  <si>
    <t xml:space="preserve">NE (kcal)</t>
  </si>
  <si>
    <t xml:space="preserve">NE = Peso Estimado × Kcal/kg (definido pelo profissional)</t>
  </si>
  <si>
    <t xml:space="preserve">Necessidade Proteica</t>
  </si>
  <si>
    <t xml:space="preserve">NP (g)</t>
  </si>
  <si>
    <t xml:space="preserve">NP = g PTN/kg × Peso Estimado (definido pelo profissional)</t>
  </si>
  <si>
    <t xml:space="preserve">NOME DO PACIENTE</t>
  </si>
  <si>
    <t xml:space="preserve">IDADE
(anos)</t>
  </si>
  <si>
    <t xml:space="preserve">CB
(cm)</t>
  </si>
  <si>
    <t xml:space="preserve">DCT
(mm)</t>
  </si>
  <si>
    <t xml:space="preserve">CMB
(cm)
[calc.]</t>
  </si>
  <si>
    <t xml:space="preserve">CP
(cm)</t>
  </si>
  <si>
    <t xml:space="preserve">AJ
(cm)</t>
  </si>
  <si>
    <t xml:space="preserve">PESO
REAL
(kg)</t>
  </si>
  <si>
    <t xml:space="preserve">PESO
ESTIMADO
(kg) [calc.]</t>
  </si>
  <si>
    <t xml:space="preserve">ALTURA
(m)
[calc.]</t>
  </si>
  <si>
    <t xml:space="preserve">IMC
(kg/m²)
[calc.]</t>
  </si>
  <si>
    <t xml:space="preserve">RISCO
NUTRICIONAL</t>
  </si>
  <si>
    <t xml:space="preserve">DIAGNÓSTICO
NUTRICIONAL</t>
  </si>
  <si>
    <t xml:space="preserve">Kcal/kg</t>
  </si>
  <si>
    <t xml:space="preserve">NEC. ENERGÉTICA
(kcal) [calc.]</t>
  </si>
  <si>
    <t xml:space="preserve">g PTN/kg</t>
  </si>
  <si>
    <t xml:space="preserve">NEC. PROTEICA
(g) [calc.]</t>
  </si>
  <si>
    <t xml:space="preserve">MULHERES BRANCAS</t>
  </si>
  <si>
    <t xml:space="preserve">MULHERES NEGRAS</t>
  </si>
  <si>
    <t xml:space="preserve">MULHERES BRANCAS — MEMBRO AMPUTADO
(PE e IMC corrigidos; % segmento = 5,9% — coxa/perna)</t>
  </si>
  <si>
    <t xml:space="preserve">MULHERES NEGRAS — MEMBRO AMPUTADO
(PE e IMC corrigidos; % segmento = 5,9% — coxa/perna)</t>
  </si>
  <si>
    <t xml:space="preserve">HOMENS BRANCOS</t>
  </si>
  <si>
    <t xml:space="preserve">HOMENS NEGROS</t>
  </si>
  <si>
    <t xml:space="preserve">HOMENS BRANCOS — MEMBRO AMPUTADO
(PE e IMC corrigidos; % segmento = 5,9% — coxa/perna)</t>
  </si>
  <si>
    <t xml:space="preserve">HOMENS NEGROS — MEMBRO AMPUTADO
(PE e IMC corrigidos; % segmento = 5,9% — coxa/perna)</t>
  </si>
  <si>
    <t xml:space="preserve">Colunas [calc.] são calculadas automaticamente. Preencha apenas as colunas de entrada: CB, DCT, CP, AJ, Peso Real, Idade, Kcal/kg e g PTN/kg.   |   % segmento amputado padrão: coxa=10,0%, perna+pé=5,9%, pé=1,8% (Osterkamp, 1995)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</si>
</sst>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i val="true"/>
      <sz val="8"/>
      <color rgb="FF555555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4C5E"/>
        <bgColor rgb="FF1A6B7A"/>
      </patternFill>
    </fill>
    <fill>
      <patternFill patternType="solid">
        <fgColor rgb="FFE8F4F8"/>
        <bgColor rgb="FFEFF7FA"/>
      </patternFill>
    </fill>
    <fill>
      <patternFill patternType="solid">
        <fgColor rgb="FF2E7D97"/>
        <bgColor rgb="FF2D6A8F"/>
      </patternFill>
    </fill>
    <fill>
      <patternFill patternType="solid">
        <fgColor rgb="FF3A8FA5"/>
        <bgColor rgb="FF2E7D97"/>
      </patternFill>
    </fill>
    <fill>
      <patternFill patternType="solid">
        <fgColor rgb="FFD0EBF2"/>
        <bgColor rgb="FFE8F4F8"/>
      </patternFill>
    </fill>
    <fill>
      <patternFill patternType="solid">
        <fgColor rgb="FFEFF7FA"/>
        <bgColor rgb="FFF5F5F5"/>
      </patternFill>
    </fill>
    <fill>
      <patternFill patternType="solid">
        <fgColor rgb="FFFFF9C4"/>
        <bgColor rgb="FFF5F5F5"/>
      </patternFill>
    </fill>
    <fill>
      <patternFill patternType="solid">
        <fgColor rgb="FF1A6B7A"/>
        <bgColor rgb="FF2D6A8F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FF7FA"/>
      </patternFill>
    </fill>
    <fill>
      <patternFill patternType="solid">
        <fgColor rgb="FF2D6A8F"/>
        <bgColor rgb="FF1A6B7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B7A"/>
      <rgbColor rgb="FFC0C0C0"/>
      <rgbColor rgb="FF808080"/>
      <rgbColor rgb="FF9999FF"/>
      <rgbColor rgb="FF993366"/>
      <rgbColor rgb="FFFFF9C4"/>
      <rgbColor rgb="FFD0EBF2"/>
      <rgbColor rgb="FF660066"/>
      <rgbColor rgb="FFFF8080"/>
      <rgbColor rgb="FF2D6A8F"/>
      <rgbColor rgb="FFCCCCFF"/>
      <rgbColor rgb="FF000080"/>
      <rgbColor rgb="FFFF00FF"/>
      <rgbColor rgb="FFFFFF00"/>
      <rgbColor rgb="FF00FFFF"/>
      <rgbColor rgb="FF800080"/>
      <rgbColor rgb="FF800000"/>
      <rgbColor rgb="FF2E7D97"/>
      <rgbColor rgb="FF0000FF"/>
      <rgbColor rgb="FF00CCFF"/>
      <rgbColor rgb="FFE8F4F8"/>
      <rgbColor rgb="FFEFF7FA"/>
      <rgbColor rgb="FFF5F5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4C5E"/>
      <rgbColor rgb="FF3A8FA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3"/>
  <sheetViews>
    <sheetView showFormulas="false" showGridLines="true" showRowColHeaders="true" showZeros="true" rightToLeft="false" tabSelected="true" showOutlineSymbols="true" defaultGridColor="true" view="normal" topLeftCell="A26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8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1" min="10" style="0" width="10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8"/>
    <col collapsed="false" customWidth="true" hidden="false" outlineLevel="0" max="15" min="15" style="0" width="17"/>
    <col collapsed="false" customWidth="true" hidden="false" outlineLevel="0" max="16" min="16" style="0" width="9"/>
    <col collapsed="false" customWidth="true" hidden="false" outlineLevel="0" max="17" min="17" style="0" width="15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1.75" hidden="false" customHeight="true" outlineLevel="0" collapsed="false">
      <c r="A2" s="2" t="s">
        <v>1</v>
      </c>
      <c r="B2" s="2"/>
      <c r="C2" s="2"/>
      <c r="D2" s="3"/>
      <c r="E2" s="3"/>
      <c r="F2" s="3"/>
      <c r="G2" s="3"/>
      <c r="H2" s="2" t="s">
        <v>2</v>
      </c>
      <c r="I2" s="2"/>
      <c r="J2" s="3"/>
      <c r="K2" s="3"/>
      <c r="L2" s="3"/>
      <c r="M2" s="2" t="s">
        <v>3</v>
      </c>
      <c r="N2" s="2"/>
      <c r="O2" s="3"/>
      <c r="P2" s="3"/>
      <c r="Q2" s="3"/>
    </row>
    <row r="3" customFormat="false" ht="6" hidden="false" customHeight="true" outlineLevel="0" collapsed="false"/>
    <row r="4" customFormat="false" ht="19.5" hidden="false" customHeight="true" outlineLevel="0" collapsed="false">
      <c r="A4" s="4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customFormat="false" ht="18" hidden="false" customHeight="true" outlineLevel="0" collapsed="false">
      <c r="A5" s="5" t="s">
        <v>5</v>
      </c>
      <c r="B5" s="6" t="s">
        <v>6</v>
      </c>
      <c r="C5" s="6"/>
      <c r="D5" s="6"/>
      <c r="E5" s="6"/>
      <c r="F5" s="6"/>
      <c r="G5" s="6"/>
      <c r="H5" s="6" t="s">
        <v>7</v>
      </c>
      <c r="I5" s="6"/>
      <c r="J5" s="6"/>
      <c r="K5" s="6"/>
      <c r="L5" s="6"/>
      <c r="M5" s="6"/>
      <c r="N5" s="6" t="s">
        <v>8</v>
      </c>
      <c r="O5" s="6"/>
      <c r="P5" s="6"/>
      <c r="Q5" s="6"/>
    </row>
    <row r="6" customFormat="false" ht="27.75" hidden="false" customHeight="true" outlineLevel="0" collapsed="false">
      <c r="A6" s="7" t="s">
        <v>9</v>
      </c>
      <c r="B6" s="8" t="s">
        <v>10</v>
      </c>
      <c r="C6" s="8"/>
      <c r="D6" s="8"/>
      <c r="E6" s="8"/>
      <c r="F6" s="8"/>
      <c r="G6" s="8"/>
      <c r="H6" s="9" t="s">
        <v>11</v>
      </c>
      <c r="I6" s="9"/>
      <c r="J6" s="9"/>
      <c r="K6" s="9"/>
      <c r="L6" s="9"/>
      <c r="M6" s="9"/>
      <c r="N6" s="10" t="s">
        <v>10</v>
      </c>
      <c r="O6" s="10"/>
      <c r="P6" s="10"/>
      <c r="Q6" s="10"/>
    </row>
    <row r="7" customFormat="false" ht="27.75" hidden="false" customHeight="true" outlineLevel="0" collapsed="false">
      <c r="A7" s="11" t="s">
        <v>12</v>
      </c>
      <c r="B7" s="12" t="s">
        <v>13</v>
      </c>
      <c r="C7" s="12"/>
      <c r="D7" s="12"/>
      <c r="E7" s="12"/>
      <c r="F7" s="12"/>
      <c r="G7" s="12"/>
      <c r="H7" s="13" t="s">
        <v>14</v>
      </c>
      <c r="I7" s="13"/>
      <c r="J7" s="13"/>
      <c r="K7" s="13"/>
      <c r="L7" s="13"/>
      <c r="M7" s="13"/>
      <c r="N7" s="14" t="s">
        <v>10</v>
      </c>
      <c r="O7" s="14"/>
      <c r="P7" s="14"/>
      <c r="Q7" s="14"/>
    </row>
    <row r="8" customFormat="false" ht="27.75" hidden="false" customHeight="true" outlineLevel="0" collapsed="false">
      <c r="A8" s="7" t="s">
        <v>15</v>
      </c>
      <c r="B8" s="8" t="s">
        <v>16</v>
      </c>
      <c r="C8" s="8"/>
      <c r="D8" s="8"/>
      <c r="E8" s="8"/>
      <c r="F8" s="8"/>
      <c r="G8" s="8"/>
      <c r="H8" s="9" t="s">
        <v>17</v>
      </c>
      <c r="I8" s="9"/>
      <c r="J8" s="9"/>
      <c r="K8" s="9"/>
      <c r="L8" s="9"/>
      <c r="M8" s="9"/>
      <c r="N8" s="10" t="s">
        <v>18</v>
      </c>
      <c r="O8" s="10"/>
      <c r="P8" s="10"/>
      <c r="Q8" s="10"/>
    </row>
    <row r="9" customFormat="false" ht="27.75" hidden="false" customHeight="true" outlineLevel="0" collapsed="false">
      <c r="A9" s="11" t="s">
        <v>19</v>
      </c>
      <c r="B9" s="12" t="s">
        <v>20</v>
      </c>
      <c r="C9" s="12"/>
      <c r="D9" s="12"/>
      <c r="E9" s="12"/>
      <c r="F9" s="12"/>
      <c r="G9" s="12"/>
      <c r="H9" s="13" t="s">
        <v>17</v>
      </c>
      <c r="I9" s="13"/>
      <c r="J9" s="13"/>
      <c r="K9" s="13"/>
      <c r="L9" s="13"/>
      <c r="M9" s="13"/>
      <c r="N9" s="14" t="s">
        <v>18</v>
      </c>
      <c r="O9" s="14"/>
      <c r="P9" s="14"/>
      <c r="Q9" s="14"/>
    </row>
    <row r="10" customFormat="false" ht="27.75" hidden="false" customHeight="true" outlineLevel="0" collapsed="false">
      <c r="A10" s="7" t="s">
        <v>21</v>
      </c>
      <c r="B10" s="8" t="s">
        <v>22</v>
      </c>
      <c r="C10" s="8"/>
      <c r="D10" s="8"/>
      <c r="E10" s="8"/>
      <c r="F10" s="8"/>
      <c r="G10" s="8"/>
      <c r="H10" s="15" t="s">
        <v>23</v>
      </c>
      <c r="I10" s="15"/>
      <c r="J10" s="15"/>
      <c r="K10" s="15"/>
      <c r="L10" s="15"/>
      <c r="M10" s="15"/>
      <c r="N10" s="10" t="s">
        <v>24</v>
      </c>
      <c r="O10" s="10"/>
      <c r="P10" s="10"/>
      <c r="Q10" s="10"/>
    </row>
    <row r="11" customFormat="false" ht="27.75" hidden="false" customHeight="true" outlineLevel="0" collapsed="false">
      <c r="A11" s="11" t="s">
        <v>25</v>
      </c>
      <c r="B11" s="12" t="s">
        <v>26</v>
      </c>
      <c r="C11" s="12"/>
      <c r="D11" s="12"/>
      <c r="E11" s="12"/>
      <c r="F11" s="12"/>
      <c r="G11" s="12"/>
      <c r="H11" s="13" t="s">
        <v>17</v>
      </c>
      <c r="I11" s="13"/>
      <c r="J11" s="13"/>
      <c r="K11" s="13"/>
      <c r="L11" s="13"/>
      <c r="M11" s="13"/>
      <c r="N11" s="14" t="s">
        <v>18</v>
      </c>
      <c r="O11" s="14"/>
      <c r="P11" s="14"/>
      <c r="Q11" s="14"/>
    </row>
    <row r="12" customFormat="false" ht="27.75" hidden="false" customHeight="true" outlineLevel="0" collapsed="false">
      <c r="A12" s="7" t="s">
        <v>27</v>
      </c>
      <c r="B12" s="8" t="s">
        <v>28</v>
      </c>
      <c r="C12" s="8"/>
      <c r="D12" s="8"/>
      <c r="E12" s="8"/>
      <c r="F12" s="8"/>
      <c r="G12" s="8"/>
      <c r="H12" s="9" t="s">
        <v>17</v>
      </c>
      <c r="I12" s="9"/>
      <c r="J12" s="9"/>
      <c r="K12" s="9"/>
      <c r="L12" s="9"/>
      <c r="M12" s="9"/>
      <c r="N12" s="10" t="s">
        <v>29</v>
      </c>
      <c r="O12" s="10"/>
      <c r="P12" s="10"/>
      <c r="Q12" s="10"/>
    </row>
    <row r="13" customFormat="false" ht="27.75" hidden="false" customHeight="true" outlineLevel="0" collapsed="false">
      <c r="A13" s="11" t="s">
        <v>30</v>
      </c>
      <c r="B13" s="12" t="s">
        <v>31</v>
      </c>
      <c r="C13" s="12"/>
      <c r="D13" s="12"/>
      <c r="E13" s="12"/>
      <c r="F13" s="12"/>
      <c r="G13" s="12"/>
      <c r="H13" s="13" t="s">
        <v>32</v>
      </c>
      <c r="I13" s="13"/>
      <c r="J13" s="13"/>
      <c r="K13" s="13"/>
      <c r="L13" s="13"/>
      <c r="M13" s="13"/>
      <c r="N13" s="14" t="s">
        <v>10</v>
      </c>
      <c r="O13" s="14"/>
      <c r="P13" s="14"/>
      <c r="Q13" s="14"/>
    </row>
    <row r="14" customFormat="false" ht="27.75" hidden="false" customHeight="true" outlineLevel="0" collapsed="false">
      <c r="A14" s="7" t="s">
        <v>33</v>
      </c>
      <c r="B14" s="8" t="s">
        <v>34</v>
      </c>
      <c r="C14" s="8"/>
      <c r="D14" s="8"/>
      <c r="E14" s="8"/>
      <c r="F14" s="8"/>
      <c r="G14" s="8"/>
      <c r="H14" s="15" t="s">
        <v>35</v>
      </c>
      <c r="I14" s="15"/>
      <c r="J14" s="15"/>
      <c r="K14" s="15"/>
      <c r="L14" s="15"/>
      <c r="M14" s="15"/>
      <c r="N14" s="10" t="s">
        <v>36</v>
      </c>
      <c r="O14" s="10"/>
      <c r="P14" s="10"/>
      <c r="Q14" s="10"/>
    </row>
    <row r="15" customFormat="false" ht="27.75" hidden="false" customHeight="true" outlineLevel="0" collapsed="false">
      <c r="A15" s="11" t="s">
        <v>37</v>
      </c>
      <c r="B15" s="12" t="s">
        <v>34</v>
      </c>
      <c r="C15" s="12"/>
      <c r="D15" s="12"/>
      <c r="E15" s="12"/>
      <c r="F15" s="12"/>
      <c r="G15" s="12"/>
      <c r="H15" s="15" t="s">
        <v>38</v>
      </c>
      <c r="I15" s="15"/>
      <c r="J15" s="15"/>
      <c r="K15" s="15"/>
      <c r="L15" s="15"/>
      <c r="M15" s="15"/>
      <c r="N15" s="14" t="s">
        <v>36</v>
      </c>
      <c r="O15" s="14"/>
      <c r="P15" s="14"/>
      <c r="Q15" s="14"/>
    </row>
    <row r="16" customFormat="false" ht="27.75" hidden="false" customHeight="true" outlineLevel="0" collapsed="false">
      <c r="A16" s="7" t="s">
        <v>39</v>
      </c>
      <c r="B16" s="8" t="s">
        <v>34</v>
      </c>
      <c r="C16" s="8"/>
      <c r="D16" s="8"/>
      <c r="E16" s="8"/>
      <c r="F16" s="8"/>
      <c r="G16" s="8"/>
      <c r="H16" s="15" t="s">
        <v>40</v>
      </c>
      <c r="I16" s="15"/>
      <c r="J16" s="15"/>
      <c r="K16" s="15"/>
      <c r="L16" s="15"/>
      <c r="M16" s="15"/>
      <c r="N16" s="10" t="s">
        <v>36</v>
      </c>
      <c r="O16" s="10"/>
      <c r="P16" s="10"/>
      <c r="Q16" s="10"/>
    </row>
    <row r="17" customFormat="false" ht="27.75" hidden="false" customHeight="true" outlineLevel="0" collapsed="false">
      <c r="A17" s="11" t="s">
        <v>41</v>
      </c>
      <c r="B17" s="12" t="s">
        <v>34</v>
      </c>
      <c r="C17" s="12"/>
      <c r="D17" s="12"/>
      <c r="E17" s="12"/>
      <c r="F17" s="12"/>
      <c r="G17" s="12"/>
      <c r="H17" s="15" t="s">
        <v>42</v>
      </c>
      <c r="I17" s="15"/>
      <c r="J17" s="15"/>
      <c r="K17" s="15"/>
      <c r="L17" s="15"/>
      <c r="M17" s="15"/>
      <c r="N17" s="14" t="s">
        <v>36</v>
      </c>
      <c r="O17" s="14"/>
      <c r="P17" s="14"/>
      <c r="Q17" s="14"/>
    </row>
    <row r="18" customFormat="false" ht="27.75" hidden="false" customHeight="true" outlineLevel="0" collapsed="false">
      <c r="A18" s="7" t="s">
        <v>43</v>
      </c>
      <c r="B18" s="8" t="s">
        <v>44</v>
      </c>
      <c r="C18" s="8"/>
      <c r="D18" s="8"/>
      <c r="E18" s="8"/>
      <c r="F18" s="8"/>
      <c r="G18" s="8"/>
      <c r="H18" s="15" t="s">
        <v>45</v>
      </c>
      <c r="I18" s="15"/>
      <c r="J18" s="15"/>
      <c r="K18" s="15"/>
      <c r="L18" s="15"/>
      <c r="M18" s="15"/>
      <c r="N18" s="10" t="s">
        <v>46</v>
      </c>
      <c r="O18" s="10"/>
      <c r="P18" s="10"/>
      <c r="Q18" s="10"/>
    </row>
    <row r="19" customFormat="false" ht="27.75" hidden="false" customHeight="true" outlineLevel="0" collapsed="false">
      <c r="A19" s="11" t="s">
        <v>47</v>
      </c>
      <c r="B19" s="12" t="s">
        <v>48</v>
      </c>
      <c r="C19" s="12"/>
      <c r="D19" s="12"/>
      <c r="E19" s="12"/>
      <c r="F19" s="12"/>
      <c r="G19" s="12"/>
      <c r="H19" s="15" t="s">
        <v>49</v>
      </c>
      <c r="I19" s="15"/>
      <c r="J19" s="15"/>
      <c r="K19" s="15"/>
      <c r="L19" s="15"/>
      <c r="M19" s="15"/>
      <c r="N19" s="14" t="s">
        <v>29</v>
      </c>
      <c r="O19" s="14"/>
      <c r="P19" s="14"/>
      <c r="Q19" s="14"/>
    </row>
    <row r="20" customFormat="false" ht="27.75" hidden="false" customHeight="true" outlineLevel="0" collapsed="false">
      <c r="A20" s="7" t="s">
        <v>50</v>
      </c>
      <c r="B20" s="8" t="s">
        <v>48</v>
      </c>
      <c r="C20" s="8"/>
      <c r="D20" s="8"/>
      <c r="E20" s="8"/>
      <c r="F20" s="8"/>
      <c r="G20" s="8"/>
      <c r="H20" s="15" t="s">
        <v>51</v>
      </c>
      <c r="I20" s="15"/>
      <c r="J20" s="15"/>
      <c r="K20" s="15"/>
      <c r="L20" s="15"/>
      <c r="M20" s="15"/>
      <c r="N20" s="10" t="s">
        <v>29</v>
      </c>
      <c r="O20" s="10"/>
      <c r="P20" s="10"/>
      <c r="Q20" s="10"/>
    </row>
    <row r="21" customFormat="false" ht="27.75" hidden="false" customHeight="true" outlineLevel="0" collapsed="false">
      <c r="A21" s="11" t="s">
        <v>52</v>
      </c>
      <c r="B21" s="12" t="s">
        <v>53</v>
      </c>
      <c r="C21" s="12"/>
      <c r="D21" s="12"/>
      <c r="E21" s="12"/>
      <c r="F21" s="12"/>
      <c r="G21" s="12"/>
      <c r="H21" s="15" t="s">
        <v>54</v>
      </c>
      <c r="I21" s="15"/>
      <c r="J21" s="15"/>
      <c r="K21" s="15"/>
      <c r="L21" s="15"/>
      <c r="M21" s="15"/>
      <c r="N21" s="14" t="s">
        <v>55</v>
      </c>
      <c r="O21" s="14"/>
      <c r="P21" s="14"/>
      <c r="Q21" s="14"/>
    </row>
    <row r="22" customFormat="false" ht="27.75" hidden="false" customHeight="true" outlineLevel="0" collapsed="false">
      <c r="A22" s="7" t="s">
        <v>56</v>
      </c>
      <c r="B22" s="8" t="s">
        <v>57</v>
      </c>
      <c r="C22" s="8"/>
      <c r="D22" s="8"/>
      <c r="E22" s="8"/>
      <c r="F22" s="8"/>
      <c r="G22" s="8"/>
      <c r="H22" s="15" t="s">
        <v>58</v>
      </c>
      <c r="I22" s="15"/>
      <c r="J22" s="15"/>
      <c r="K22" s="15"/>
      <c r="L22" s="15"/>
      <c r="M22" s="15"/>
      <c r="N22" s="10" t="s">
        <v>10</v>
      </c>
      <c r="O22" s="10"/>
      <c r="P22" s="10"/>
      <c r="Q22" s="10"/>
    </row>
    <row r="23" customFormat="false" ht="27.75" hidden="false" customHeight="true" outlineLevel="0" collapsed="false">
      <c r="A23" s="11" t="s">
        <v>59</v>
      </c>
      <c r="B23" s="12" t="s">
        <v>60</v>
      </c>
      <c r="C23" s="12"/>
      <c r="D23" s="12"/>
      <c r="E23" s="12"/>
      <c r="F23" s="12"/>
      <c r="G23" s="12"/>
      <c r="H23" s="15" t="s">
        <v>61</v>
      </c>
      <c r="I23" s="15"/>
      <c r="J23" s="15"/>
      <c r="K23" s="15"/>
      <c r="L23" s="15"/>
      <c r="M23" s="15"/>
      <c r="N23" s="14" t="s">
        <v>10</v>
      </c>
      <c r="O23" s="14"/>
      <c r="P23" s="14"/>
      <c r="Q23" s="14"/>
    </row>
    <row r="24" customFormat="false" ht="6" hidden="false" customHeight="true" outlineLevel="0" collapsed="false"/>
    <row r="25" customFormat="false" ht="45" hidden="false" customHeight="true" outlineLevel="0" collapsed="false">
      <c r="A25" s="16" t="s">
        <v>62</v>
      </c>
      <c r="B25" s="16" t="s">
        <v>63</v>
      </c>
      <c r="C25" s="16" t="s">
        <v>64</v>
      </c>
      <c r="D25" s="16" t="s">
        <v>65</v>
      </c>
      <c r="E25" s="16" t="s">
        <v>66</v>
      </c>
      <c r="F25" s="16" t="s">
        <v>67</v>
      </c>
      <c r="G25" s="16" t="s">
        <v>68</v>
      </c>
      <c r="H25" s="16" t="s">
        <v>69</v>
      </c>
      <c r="I25" s="16" t="s">
        <v>70</v>
      </c>
      <c r="J25" s="16" t="s">
        <v>71</v>
      </c>
      <c r="K25" s="16" t="s">
        <v>72</v>
      </c>
      <c r="L25" s="16" t="s">
        <v>73</v>
      </c>
      <c r="M25" s="16" t="s">
        <v>74</v>
      </c>
      <c r="N25" s="16" t="s">
        <v>75</v>
      </c>
      <c r="O25" s="16" t="s">
        <v>76</v>
      </c>
      <c r="P25" s="16" t="s">
        <v>77</v>
      </c>
      <c r="Q25" s="16" t="s">
        <v>78</v>
      </c>
    </row>
    <row r="26" customFormat="false" ht="18" hidden="false" customHeight="true" outlineLevel="0" collapsed="false">
      <c r="A26" s="17" t="s">
        <v>79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</row>
    <row r="27" customFormat="false" ht="16.5" hidden="false" customHeight="true" outlineLevel="0" collapsed="false">
      <c r="A27" s="18"/>
      <c r="B27" s="19"/>
      <c r="C27" s="19"/>
      <c r="D27" s="19"/>
      <c r="E27" s="20" t="n">
        <f aca="false">C27-(D27*0.314)</f>
        <v>0</v>
      </c>
      <c r="F27" s="19"/>
      <c r="G27" s="19"/>
      <c r="H27" s="19"/>
      <c r="I27" s="20" t="str">
        <f aca="false">IF(OR(G27="",C27=""),"",(G27*1.09)+(C27*2.68)-65.51)</f>
        <v/>
      </c>
      <c r="J27" s="20" t="str">
        <f aca="false">IF(OR(G27="",B27=""),"",(84.88+1.83*G27-0.24*B27)/100)</f>
        <v/>
      </c>
      <c r="K27" s="20" t="str">
        <f aca="false">IF(I27="","",I27/(J27*J27))</f>
        <v/>
      </c>
      <c r="L27" s="19"/>
      <c r="M27" s="19"/>
      <c r="N27" s="19"/>
      <c r="O27" s="21" t="str">
        <f aca="false">IF(I27="","",I27*N27)</f>
        <v/>
      </c>
      <c r="P27" s="19"/>
      <c r="Q27" s="21" t="str">
        <f aca="false">IF(I27="","",P27*I27)</f>
        <v/>
      </c>
    </row>
    <row r="28" customFormat="false" ht="16.5" hidden="false" customHeight="true" outlineLevel="0" collapsed="false">
      <c r="A28" s="22"/>
      <c r="B28" s="23"/>
      <c r="C28" s="23"/>
      <c r="D28" s="23"/>
      <c r="E28" s="20" t="n">
        <f aca="false">C28-(D28*0.314)</f>
        <v>0</v>
      </c>
      <c r="F28" s="23"/>
      <c r="G28" s="23"/>
      <c r="H28" s="23"/>
      <c r="I28" s="20" t="str">
        <f aca="false">IF(OR(G28="",C28=""),"",(G28*1.09)+(C28*2.68)-65.51)</f>
        <v/>
      </c>
      <c r="J28" s="20" t="str">
        <f aca="false">IF(OR(G28="",B28=""),"",(84.88+1.83*G28-0.24*B28)/100)</f>
        <v/>
      </c>
      <c r="K28" s="20" t="str">
        <f aca="false">IF(I28="","",I28/(J28*J28))</f>
        <v/>
      </c>
      <c r="L28" s="23"/>
      <c r="M28" s="23"/>
      <c r="N28" s="23"/>
      <c r="O28" s="21" t="str">
        <f aca="false">IF(I28="","",I28*N28)</f>
        <v/>
      </c>
      <c r="P28" s="23"/>
      <c r="Q28" s="21" t="str">
        <f aca="false">IF(I28="","",P28*I28)</f>
        <v/>
      </c>
    </row>
    <row r="29" customFormat="false" ht="16.5" hidden="false" customHeight="true" outlineLevel="0" collapsed="false">
      <c r="A29" s="18"/>
      <c r="B29" s="19"/>
      <c r="C29" s="19"/>
      <c r="D29" s="19"/>
      <c r="E29" s="20" t="n">
        <f aca="false">C29-(D29*0.314)</f>
        <v>0</v>
      </c>
      <c r="F29" s="19"/>
      <c r="G29" s="19"/>
      <c r="H29" s="19"/>
      <c r="I29" s="20" t="str">
        <f aca="false">IF(OR(G29="",C29=""),"",(G29*1.09)+(C29*2.68)-65.51)</f>
        <v/>
      </c>
      <c r="J29" s="20" t="str">
        <f aca="false">IF(OR(G29="",B29=""),"",(84.88+1.83*G29-0.24*B29)/100)</f>
        <v/>
      </c>
      <c r="K29" s="20" t="str">
        <f aca="false">IF(I29="","",I29/(J29*J29))</f>
        <v/>
      </c>
      <c r="L29" s="19"/>
      <c r="M29" s="19"/>
      <c r="N29" s="19"/>
      <c r="O29" s="21" t="str">
        <f aca="false">IF(I29="","",I29*N29)</f>
        <v/>
      </c>
      <c r="P29" s="19"/>
      <c r="Q29" s="21" t="str">
        <f aca="false">IF(I29="","",P29*I29)</f>
        <v/>
      </c>
    </row>
    <row r="30" customFormat="false" ht="16.5" hidden="false" customHeight="true" outlineLevel="0" collapsed="false">
      <c r="A30" s="22"/>
      <c r="B30" s="23"/>
      <c r="C30" s="23"/>
      <c r="D30" s="23"/>
      <c r="E30" s="20" t="n">
        <f aca="false">C30-(D30*0.314)</f>
        <v>0</v>
      </c>
      <c r="F30" s="23"/>
      <c r="G30" s="23"/>
      <c r="H30" s="23"/>
      <c r="I30" s="20" t="str">
        <f aca="false">IF(OR(G30="",C30=""),"",(G30*1.09)+(C30*2.68)-65.51)</f>
        <v/>
      </c>
      <c r="J30" s="20" t="str">
        <f aca="false">IF(OR(G30="",B30=""),"",(84.88+1.83*G30-0.24*B30)/100)</f>
        <v/>
      </c>
      <c r="K30" s="20" t="str">
        <f aca="false">IF(I30="","",I30/(J30*J30))</f>
        <v/>
      </c>
      <c r="L30" s="23"/>
      <c r="M30" s="23"/>
      <c r="N30" s="23"/>
      <c r="O30" s="21" t="str">
        <f aca="false">IF(I30="","",I30*N30)</f>
        <v/>
      </c>
      <c r="P30" s="23"/>
      <c r="Q30" s="21" t="str">
        <f aca="false">IF(I30="","",P30*I30)</f>
        <v/>
      </c>
    </row>
    <row r="31" customFormat="false" ht="16.5" hidden="false" customHeight="true" outlineLevel="0" collapsed="false">
      <c r="A31" s="18"/>
      <c r="B31" s="19"/>
      <c r="C31" s="19"/>
      <c r="D31" s="19"/>
      <c r="E31" s="20" t="n">
        <f aca="false">C31-(D31*0.314)</f>
        <v>0</v>
      </c>
      <c r="F31" s="19"/>
      <c r="G31" s="19"/>
      <c r="H31" s="19"/>
      <c r="I31" s="20" t="str">
        <f aca="false">IF(OR(G31="",C31=""),"",(G31*1.09)+(C31*2.68)-65.51)</f>
        <v/>
      </c>
      <c r="J31" s="20" t="str">
        <f aca="false">IF(OR(G31="",B31=""),"",(84.88+1.83*G31-0.24*B31)/100)</f>
        <v/>
      </c>
      <c r="K31" s="20" t="str">
        <f aca="false">IF(I31="","",I31/(J31*J31))</f>
        <v/>
      </c>
      <c r="L31" s="19"/>
      <c r="M31" s="19"/>
      <c r="N31" s="19"/>
      <c r="O31" s="21" t="str">
        <f aca="false">IF(I31="","",I31*N31)</f>
        <v/>
      </c>
      <c r="P31" s="19"/>
      <c r="Q31" s="21" t="str">
        <f aca="false">IF(I31="","",P31*I31)</f>
        <v/>
      </c>
    </row>
    <row r="32" customFormat="false" ht="16.5" hidden="false" customHeight="true" outlineLevel="0" collapsed="false">
      <c r="A32" s="22"/>
      <c r="B32" s="23"/>
      <c r="C32" s="23"/>
      <c r="D32" s="23"/>
      <c r="E32" s="20" t="n">
        <f aca="false">C32-(D32*0.314)</f>
        <v>0</v>
      </c>
      <c r="F32" s="23"/>
      <c r="G32" s="23"/>
      <c r="H32" s="23"/>
      <c r="I32" s="20" t="str">
        <f aca="false">IF(OR(G32="",C32=""),"",(G32*1.09)+(C32*2.68)-65.51)</f>
        <v/>
      </c>
      <c r="J32" s="20" t="str">
        <f aca="false">IF(OR(G32="",B32=""),"",(84.88+1.83*G32-0.24*B32)/100)</f>
        <v/>
      </c>
      <c r="K32" s="20" t="str">
        <f aca="false">IF(I32="","",I32/(J32*J32))</f>
        <v/>
      </c>
      <c r="L32" s="23"/>
      <c r="M32" s="23"/>
      <c r="N32" s="23"/>
      <c r="O32" s="21" t="str">
        <f aca="false">IF(I32="","",I32*N32)</f>
        <v/>
      </c>
      <c r="P32" s="23"/>
      <c r="Q32" s="21" t="str">
        <f aca="false">IF(I32="","",P32*I32)</f>
        <v/>
      </c>
    </row>
    <row r="33" customFormat="false" ht="18" hidden="false" customHeight="true" outlineLevel="0" collapsed="false">
      <c r="A33" s="17" t="s">
        <v>80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</row>
    <row r="34" customFormat="false" ht="16.5" hidden="false" customHeight="true" outlineLevel="0" collapsed="false">
      <c r="A34" s="18"/>
      <c r="B34" s="19"/>
      <c r="C34" s="19"/>
      <c r="D34" s="19"/>
      <c r="E34" s="20" t="n">
        <f aca="false">C34-(D34*0.314)</f>
        <v>0</v>
      </c>
      <c r="F34" s="19"/>
      <c r="G34" s="19"/>
      <c r="H34" s="19"/>
      <c r="I34" s="20" t="str">
        <f aca="false">IF(OR(G34="",C34=""),"",(G34*1.5)+(C34*2.58)-84.22)</f>
        <v/>
      </c>
      <c r="J34" s="20" t="str">
        <f aca="false">IF(OR(G34="",B34=""),"",(84.88+1.83*G34-0.24*B34)/100)</f>
        <v/>
      </c>
      <c r="K34" s="20" t="str">
        <f aca="false">IF(I34="","",I34/(J34*J34))</f>
        <v/>
      </c>
      <c r="L34" s="19"/>
      <c r="M34" s="19"/>
      <c r="N34" s="19"/>
      <c r="O34" s="21" t="str">
        <f aca="false">IF(I34="","",I34*N34)</f>
        <v/>
      </c>
      <c r="P34" s="19"/>
      <c r="Q34" s="21" t="str">
        <f aca="false">IF(I34="","",P34*I34)</f>
        <v/>
      </c>
    </row>
    <row r="35" customFormat="false" ht="16.5" hidden="false" customHeight="true" outlineLevel="0" collapsed="false">
      <c r="A35" s="22"/>
      <c r="B35" s="23"/>
      <c r="C35" s="23"/>
      <c r="D35" s="23"/>
      <c r="E35" s="20" t="n">
        <f aca="false">C35-(D35*0.314)</f>
        <v>0</v>
      </c>
      <c r="F35" s="23"/>
      <c r="G35" s="23"/>
      <c r="H35" s="23"/>
      <c r="I35" s="20" t="str">
        <f aca="false">IF(OR(G35="",C35=""),"",(G35*1.5)+(C35*2.58)-84.22)</f>
        <v/>
      </c>
      <c r="J35" s="20" t="str">
        <f aca="false">IF(OR(G35="",B35=""),"",(84.88+1.83*G35-0.24*B35)/100)</f>
        <v/>
      </c>
      <c r="K35" s="20" t="str">
        <f aca="false">IF(I35="","",I35/(J35*J35))</f>
        <v/>
      </c>
      <c r="L35" s="23"/>
      <c r="M35" s="23"/>
      <c r="N35" s="23"/>
      <c r="O35" s="21" t="str">
        <f aca="false">IF(I35="","",I35*N35)</f>
        <v/>
      </c>
      <c r="P35" s="23"/>
      <c r="Q35" s="21" t="str">
        <f aca="false">IF(I35="","",P35*I35)</f>
        <v/>
      </c>
    </row>
    <row r="36" customFormat="false" ht="16.5" hidden="false" customHeight="true" outlineLevel="0" collapsed="false">
      <c r="A36" s="18"/>
      <c r="B36" s="19"/>
      <c r="C36" s="19"/>
      <c r="D36" s="19"/>
      <c r="E36" s="20" t="n">
        <f aca="false">C36-(D36*0.314)</f>
        <v>0</v>
      </c>
      <c r="F36" s="19"/>
      <c r="G36" s="19"/>
      <c r="H36" s="19"/>
      <c r="I36" s="20" t="str">
        <f aca="false">IF(OR(G36="",C36=""),"",(G36*1.5)+(C36*2.58)-84.22)</f>
        <v/>
      </c>
      <c r="J36" s="20" t="str">
        <f aca="false">IF(OR(G36="",B36=""),"",(84.88+1.83*G36-0.24*B36)/100)</f>
        <v/>
      </c>
      <c r="K36" s="20" t="str">
        <f aca="false">IF(I36="","",I36/(J36*J36))</f>
        <v/>
      </c>
      <c r="L36" s="19"/>
      <c r="M36" s="19"/>
      <c r="N36" s="19"/>
      <c r="O36" s="21" t="str">
        <f aca="false">IF(I36="","",I36*N36)</f>
        <v/>
      </c>
      <c r="P36" s="19"/>
      <c r="Q36" s="21" t="str">
        <f aca="false">IF(I36="","",P36*I36)</f>
        <v/>
      </c>
    </row>
    <row r="37" customFormat="false" ht="16.5" hidden="false" customHeight="true" outlineLevel="0" collapsed="false">
      <c r="A37" s="22"/>
      <c r="B37" s="23"/>
      <c r="C37" s="23"/>
      <c r="D37" s="23"/>
      <c r="E37" s="20" t="n">
        <f aca="false">C37-(D37*0.314)</f>
        <v>0</v>
      </c>
      <c r="F37" s="23"/>
      <c r="G37" s="23"/>
      <c r="H37" s="23"/>
      <c r="I37" s="20" t="str">
        <f aca="false">IF(OR(G37="",C37=""),"",(G37*1.5)+(C37*2.58)-84.22)</f>
        <v/>
      </c>
      <c r="J37" s="20" t="str">
        <f aca="false">IF(OR(G37="",B37=""),"",(84.88+1.83*G37-0.24*B37)/100)</f>
        <v/>
      </c>
      <c r="K37" s="20" t="str">
        <f aca="false">IF(I37="","",I37/(J37*J37))</f>
        <v/>
      </c>
      <c r="L37" s="23"/>
      <c r="M37" s="23"/>
      <c r="N37" s="23"/>
      <c r="O37" s="21" t="str">
        <f aca="false">IF(I37="","",I37*N37)</f>
        <v/>
      </c>
      <c r="P37" s="23"/>
      <c r="Q37" s="21" t="str">
        <f aca="false">IF(I37="","",P37*I37)</f>
        <v/>
      </c>
    </row>
    <row r="38" customFormat="false" ht="16.5" hidden="false" customHeight="true" outlineLevel="0" collapsed="false">
      <c r="A38" s="18"/>
      <c r="B38" s="19"/>
      <c r="C38" s="19"/>
      <c r="D38" s="19"/>
      <c r="E38" s="20" t="n">
        <f aca="false">C38-(D38*0.314)</f>
        <v>0</v>
      </c>
      <c r="F38" s="19"/>
      <c r="G38" s="19"/>
      <c r="H38" s="19"/>
      <c r="I38" s="20" t="str">
        <f aca="false">IF(OR(G38="",C38=""),"",(G38*1.5)+(C38*2.58)-84.22)</f>
        <v/>
      </c>
      <c r="J38" s="20" t="str">
        <f aca="false">IF(OR(G38="",B38=""),"",(84.88+1.83*G38-0.24*B38)/100)</f>
        <v/>
      </c>
      <c r="K38" s="20" t="str">
        <f aca="false">IF(I38="","",I38/(J38*J38))</f>
        <v/>
      </c>
      <c r="L38" s="19"/>
      <c r="M38" s="19"/>
      <c r="N38" s="19"/>
      <c r="O38" s="21" t="str">
        <f aca="false">IF(I38="","",I38*N38)</f>
        <v/>
      </c>
      <c r="P38" s="19"/>
      <c r="Q38" s="21" t="str">
        <f aca="false">IF(I38="","",P38*I38)</f>
        <v/>
      </c>
    </row>
    <row r="39" customFormat="false" ht="16.5" hidden="false" customHeight="true" outlineLevel="0" collapsed="false">
      <c r="A39" s="22"/>
      <c r="B39" s="23"/>
      <c r="C39" s="23"/>
      <c r="D39" s="23"/>
      <c r="E39" s="20" t="n">
        <f aca="false">C39-(D39*0.314)</f>
        <v>0</v>
      </c>
      <c r="F39" s="23"/>
      <c r="G39" s="23"/>
      <c r="H39" s="23"/>
      <c r="I39" s="20" t="str">
        <f aca="false">IF(OR(G39="",C39=""),"",(G39*1.5)+(C39*2.58)-84.22)</f>
        <v/>
      </c>
      <c r="J39" s="20" t="str">
        <f aca="false">IF(OR(G39="",B39=""),"",(84.88+1.83*G39-0.24*B39)/100)</f>
        <v/>
      </c>
      <c r="K39" s="20" t="str">
        <f aca="false">IF(I39="","",I39/(J39*J39))</f>
        <v/>
      </c>
      <c r="L39" s="23"/>
      <c r="M39" s="23"/>
      <c r="N39" s="23"/>
      <c r="O39" s="21" t="str">
        <f aca="false">IF(I39="","",I39*N39)</f>
        <v/>
      </c>
      <c r="P39" s="23"/>
      <c r="Q39" s="21" t="str">
        <f aca="false">IF(I39="","",P39*I39)</f>
        <v/>
      </c>
    </row>
    <row r="40" customFormat="false" ht="18" hidden="false" customHeight="true" outlineLevel="0" collapsed="false">
      <c r="A40" s="24" t="s">
        <v>81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</row>
    <row r="41" customFormat="false" ht="16.5" hidden="false" customHeight="true" outlineLevel="0" collapsed="false">
      <c r="A41" s="18"/>
      <c r="B41" s="19"/>
      <c r="C41" s="19"/>
      <c r="D41" s="19"/>
      <c r="E41" s="20" t="n">
        <f aca="false">C41-(D41*0.314)</f>
        <v>0</v>
      </c>
      <c r="F41" s="19"/>
      <c r="G41" s="19"/>
      <c r="H41" s="19"/>
      <c r="I41" s="20" t="str">
        <f aca="false">IF(OR(G41="",C41=""),"",((G41*1.09)+(C41*2.68)-65.51)*100/(100-5.9))</f>
        <v/>
      </c>
      <c r="J41" s="20" t="str">
        <f aca="false">IF(OR(G41="",B41=""),"",(84.88+1.83*G41-0.24*B41)/100)</f>
        <v/>
      </c>
      <c r="K41" s="20" t="str">
        <f aca="false">IF(I41="","",I41/(J41*J41)*(1-0.059))</f>
        <v/>
      </c>
      <c r="L41" s="19"/>
      <c r="M41" s="19"/>
      <c r="N41" s="19"/>
      <c r="O41" s="21" t="str">
        <f aca="false">IF(I41="","",I41*N41)</f>
        <v/>
      </c>
      <c r="P41" s="19"/>
      <c r="Q41" s="21" t="str">
        <f aca="false">IF(I41="","",P41*I41)</f>
        <v/>
      </c>
    </row>
    <row r="42" customFormat="false" ht="16.5" hidden="false" customHeight="true" outlineLevel="0" collapsed="false">
      <c r="A42" s="22"/>
      <c r="B42" s="23"/>
      <c r="C42" s="23"/>
      <c r="D42" s="23"/>
      <c r="E42" s="20" t="n">
        <f aca="false">C42-(D42*0.314)</f>
        <v>0</v>
      </c>
      <c r="F42" s="23"/>
      <c r="G42" s="23"/>
      <c r="H42" s="23"/>
      <c r="I42" s="20" t="str">
        <f aca="false">IF(OR(G42="",C42=""),"",((G42*1.09)+(C42*2.68)-65.51)*100/(100-5.9))</f>
        <v/>
      </c>
      <c r="J42" s="20" t="str">
        <f aca="false">IF(OR(G42="",B42=""),"",(84.88+1.83*G42-0.24*B42)/100)</f>
        <v/>
      </c>
      <c r="K42" s="20" t="str">
        <f aca="false">IF(I42="","",I42/(J42*J42)*(1-0.059))</f>
        <v/>
      </c>
      <c r="L42" s="23"/>
      <c r="M42" s="23"/>
      <c r="N42" s="23"/>
      <c r="O42" s="21" t="str">
        <f aca="false">IF(I42="","",I42*N42)</f>
        <v/>
      </c>
      <c r="P42" s="23"/>
      <c r="Q42" s="21" t="str">
        <f aca="false">IF(I42="","",P42*I42)</f>
        <v/>
      </c>
    </row>
    <row r="43" customFormat="false" ht="16.5" hidden="false" customHeight="true" outlineLevel="0" collapsed="false">
      <c r="A43" s="18"/>
      <c r="B43" s="19"/>
      <c r="C43" s="19"/>
      <c r="D43" s="19"/>
      <c r="E43" s="20" t="n">
        <f aca="false">C43-(D43*0.314)</f>
        <v>0</v>
      </c>
      <c r="F43" s="19"/>
      <c r="G43" s="19"/>
      <c r="H43" s="19"/>
      <c r="I43" s="20" t="str">
        <f aca="false">IF(OR(G43="",C43=""),"",((G43*1.09)+(C43*2.68)-65.51)*100/(100-5.9))</f>
        <v/>
      </c>
      <c r="J43" s="20" t="str">
        <f aca="false">IF(OR(G43="",B43=""),"",(84.88+1.83*G43-0.24*B43)/100)</f>
        <v/>
      </c>
      <c r="K43" s="20" t="str">
        <f aca="false">IF(I43="","",I43/(J43*J43)*(1-0.059))</f>
        <v/>
      </c>
      <c r="L43" s="19"/>
      <c r="M43" s="19"/>
      <c r="N43" s="19"/>
      <c r="O43" s="21" t="str">
        <f aca="false">IF(I43="","",I43*N43)</f>
        <v/>
      </c>
      <c r="P43" s="19"/>
      <c r="Q43" s="21" t="str">
        <f aca="false">IF(I43="","",P43*I43)</f>
        <v/>
      </c>
    </row>
    <row r="44" customFormat="false" ht="16.5" hidden="false" customHeight="true" outlineLevel="0" collapsed="false">
      <c r="A44" s="22"/>
      <c r="B44" s="23"/>
      <c r="C44" s="23"/>
      <c r="D44" s="23"/>
      <c r="E44" s="20" t="n">
        <f aca="false">C44-(D44*0.314)</f>
        <v>0</v>
      </c>
      <c r="F44" s="23"/>
      <c r="G44" s="23"/>
      <c r="H44" s="23"/>
      <c r="I44" s="20" t="str">
        <f aca="false">IF(OR(G44="",C44=""),"",((G44*1.09)+(C44*2.68)-65.51)*100/(100-5.9))</f>
        <v/>
      </c>
      <c r="J44" s="20" t="str">
        <f aca="false">IF(OR(G44="",B44=""),"",(84.88+1.83*G44-0.24*B44)/100)</f>
        <v/>
      </c>
      <c r="K44" s="20" t="str">
        <f aca="false">IF(I44="","",I44/(J44*J44)*(1-0.059))</f>
        <v/>
      </c>
      <c r="L44" s="23"/>
      <c r="M44" s="23"/>
      <c r="N44" s="23"/>
      <c r="O44" s="21" t="str">
        <f aca="false">IF(I44="","",I44*N44)</f>
        <v/>
      </c>
      <c r="P44" s="23"/>
      <c r="Q44" s="21" t="str">
        <f aca="false">IF(I44="","",P44*I44)</f>
        <v/>
      </c>
    </row>
    <row r="45" customFormat="false" ht="16.5" hidden="false" customHeight="true" outlineLevel="0" collapsed="false">
      <c r="A45" s="18"/>
      <c r="B45" s="19"/>
      <c r="C45" s="19"/>
      <c r="D45" s="19"/>
      <c r="E45" s="20" t="n">
        <f aca="false">C45-(D45*0.314)</f>
        <v>0</v>
      </c>
      <c r="F45" s="19"/>
      <c r="G45" s="19"/>
      <c r="H45" s="19"/>
      <c r="I45" s="20" t="str">
        <f aca="false">IF(OR(G45="",C45=""),"",((G45*1.09)+(C45*2.68)-65.51)*100/(100-5.9))</f>
        <v/>
      </c>
      <c r="J45" s="20" t="str">
        <f aca="false">IF(OR(G45="",B45=""),"",(84.88+1.83*G45-0.24*B45)/100)</f>
        <v/>
      </c>
      <c r="K45" s="20" t="str">
        <f aca="false">IF(I45="","",I45/(J45*J45)*(1-0.059))</f>
        <v/>
      </c>
      <c r="L45" s="19"/>
      <c r="M45" s="19"/>
      <c r="N45" s="19"/>
      <c r="O45" s="21" t="str">
        <f aca="false">IF(I45="","",I45*N45)</f>
        <v/>
      </c>
      <c r="P45" s="19"/>
      <c r="Q45" s="21" t="str">
        <f aca="false">IF(I45="","",P45*I45)</f>
        <v/>
      </c>
    </row>
    <row r="46" customFormat="false" ht="16.5" hidden="false" customHeight="true" outlineLevel="0" collapsed="false">
      <c r="A46" s="22"/>
      <c r="B46" s="23"/>
      <c r="C46" s="23"/>
      <c r="D46" s="23"/>
      <c r="E46" s="20" t="n">
        <f aca="false">C46-(D46*0.314)</f>
        <v>0</v>
      </c>
      <c r="F46" s="23"/>
      <c r="G46" s="23"/>
      <c r="H46" s="23"/>
      <c r="I46" s="20" t="str">
        <f aca="false">IF(OR(G46="",C46=""),"",((G46*1.09)+(C46*2.68)-65.51)*100/(100-5.9))</f>
        <v/>
      </c>
      <c r="J46" s="20" t="str">
        <f aca="false">IF(OR(G46="",B46=""),"",(84.88+1.83*G46-0.24*B46)/100)</f>
        <v/>
      </c>
      <c r="K46" s="20" t="str">
        <f aca="false">IF(I46="","",I46/(J46*J46)*(1-0.059))</f>
        <v/>
      </c>
      <c r="L46" s="23"/>
      <c r="M46" s="23"/>
      <c r="N46" s="23"/>
      <c r="O46" s="21" t="str">
        <f aca="false">IF(I46="","",I46*N46)</f>
        <v/>
      </c>
      <c r="P46" s="23"/>
      <c r="Q46" s="21" t="str">
        <f aca="false">IF(I46="","",P46*I46)</f>
        <v/>
      </c>
    </row>
    <row r="47" customFormat="false" ht="18" hidden="false" customHeight="true" outlineLevel="0" collapsed="false">
      <c r="A47" s="24" t="s">
        <v>82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</row>
    <row r="48" customFormat="false" ht="16.5" hidden="false" customHeight="true" outlineLevel="0" collapsed="false">
      <c r="A48" s="18"/>
      <c r="B48" s="19"/>
      <c r="C48" s="19"/>
      <c r="D48" s="19"/>
      <c r="E48" s="20" t="n">
        <f aca="false">C48-(D48*0.314)</f>
        <v>0</v>
      </c>
      <c r="F48" s="19"/>
      <c r="G48" s="19"/>
      <c r="H48" s="19"/>
      <c r="I48" s="20" t="str">
        <f aca="false">IF(OR(G48="",C48=""),"",((G48*1.5)+(C48*2.58)-84.22)*100/(100-5.9))</f>
        <v/>
      </c>
      <c r="J48" s="20" t="str">
        <f aca="false">IF(OR(G48="",B48=""),"",(84.88+1.83*G48-0.24*B48)/100)</f>
        <v/>
      </c>
      <c r="K48" s="20" t="str">
        <f aca="false">IF(I48="","",I48/(J48*J48)*(1-0.059))</f>
        <v/>
      </c>
      <c r="L48" s="19"/>
      <c r="M48" s="19"/>
      <c r="N48" s="19"/>
      <c r="O48" s="21" t="str">
        <f aca="false">IF(I48="","",I48*N48)</f>
        <v/>
      </c>
      <c r="P48" s="19"/>
      <c r="Q48" s="21" t="str">
        <f aca="false">IF(I48="","",P48*I48)</f>
        <v/>
      </c>
    </row>
    <row r="49" customFormat="false" ht="16.5" hidden="false" customHeight="true" outlineLevel="0" collapsed="false">
      <c r="A49" s="22"/>
      <c r="B49" s="23"/>
      <c r="C49" s="23"/>
      <c r="D49" s="23"/>
      <c r="E49" s="20" t="n">
        <f aca="false">C49-(D49*0.314)</f>
        <v>0</v>
      </c>
      <c r="F49" s="23"/>
      <c r="G49" s="23"/>
      <c r="H49" s="23"/>
      <c r="I49" s="20" t="str">
        <f aca="false">IF(OR(G49="",C49=""),"",((G49*1.5)+(C49*2.58)-84.22)*100/(100-5.9))</f>
        <v/>
      </c>
      <c r="J49" s="20" t="str">
        <f aca="false">IF(OR(G49="",B49=""),"",(84.88+1.83*G49-0.24*B49)/100)</f>
        <v/>
      </c>
      <c r="K49" s="20" t="str">
        <f aca="false">IF(I49="","",I49/(J49*J49)*(1-0.059))</f>
        <v/>
      </c>
      <c r="L49" s="23"/>
      <c r="M49" s="23"/>
      <c r="N49" s="23"/>
      <c r="O49" s="21" t="str">
        <f aca="false">IF(I49="","",I49*N49)</f>
        <v/>
      </c>
      <c r="P49" s="23"/>
      <c r="Q49" s="21" t="str">
        <f aca="false">IF(I49="","",P49*I49)</f>
        <v/>
      </c>
    </row>
    <row r="50" customFormat="false" ht="16.5" hidden="false" customHeight="true" outlineLevel="0" collapsed="false">
      <c r="A50" s="18"/>
      <c r="B50" s="19"/>
      <c r="C50" s="19"/>
      <c r="D50" s="19"/>
      <c r="E50" s="20" t="n">
        <f aca="false">C50-(D50*0.314)</f>
        <v>0</v>
      </c>
      <c r="F50" s="19"/>
      <c r="G50" s="19"/>
      <c r="H50" s="19"/>
      <c r="I50" s="20" t="str">
        <f aca="false">IF(OR(G50="",C50=""),"",((G50*1.5)+(C50*2.58)-84.22)*100/(100-5.9))</f>
        <v/>
      </c>
      <c r="J50" s="20" t="str">
        <f aca="false">IF(OR(G50="",B50=""),"",(84.88+1.83*G50-0.24*B50)/100)</f>
        <v/>
      </c>
      <c r="K50" s="20" t="str">
        <f aca="false">IF(I50="","",I50/(J50*J50)*(1-0.059))</f>
        <v/>
      </c>
      <c r="L50" s="19"/>
      <c r="M50" s="19"/>
      <c r="N50" s="19"/>
      <c r="O50" s="21" t="str">
        <f aca="false">IF(I50="","",I50*N50)</f>
        <v/>
      </c>
      <c r="P50" s="19"/>
      <c r="Q50" s="21" t="str">
        <f aca="false">IF(I50="","",P50*I50)</f>
        <v/>
      </c>
    </row>
    <row r="51" customFormat="false" ht="16.5" hidden="false" customHeight="true" outlineLevel="0" collapsed="false">
      <c r="A51" s="22"/>
      <c r="B51" s="23"/>
      <c r="C51" s="23"/>
      <c r="D51" s="23"/>
      <c r="E51" s="20" t="n">
        <f aca="false">C51-(D51*0.314)</f>
        <v>0</v>
      </c>
      <c r="F51" s="23"/>
      <c r="G51" s="23"/>
      <c r="H51" s="23"/>
      <c r="I51" s="20" t="str">
        <f aca="false">IF(OR(G51="",C51=""),"",((G51*1.5)+(C51*2.58)-84.22)*100/(100-5.9))</f>
        <v/>
      </c>
      <c r="J51" s="20" t="str">
        <f aca="false">IF(OR(G51="",B51=""),"",(84.88+1.83*G51-0.24*B51)/100)</f>
        <v/>
      </c>
      <c r="K51" s="20" t="str">
        <f aca="false">IF(I51="","",I51/(J51*J51)*(1-0.059))</f>
        <v/>
      </c>
      <c r="L51" s="23"/>
      <c r="M51" s="23"/>
      <c r="N51" s="23"/>
      <c r="O51" s="21" t="str">
        <f aca="false">IF(I51="","",I51*N51)</f>
        <v/>
      </c>
      <c r="P51" s="23"/>
      <c r="Q51" s="21" t="str">
        <f aca="false">IF(I51="","",P51*I51)</f>
        <v/>
      </c>
    </row>
    <row r="52" customFormat="false" ht="16.5" hidden="false" customHeight="true" outlineLevel="0" collapsed="false">
      <c r="A52" s="18"/>
      <c r="B52" s="19"/>
      <c r="C52" s="19"/>
      <c r="D52" s="19"/>
      <c r="E52" s="20" t="n">
        <f aca="false">C52-(D52*0.314)</f>
        <v>0</v>
      </c>
      <c r="F52" s="19"/>
      <c r="G52" s="19"/>
      <c r="H52" s="19"/>
      <c r="I52" s="20" t="str">
        <f aca="false">IF(OR(G52="",C52=""),"",((G52*1.5)+(C52*2.58)-84.22)*100/(100-5.9))</f>
        <v/>
      </c>
      <c r="J52" s="20" t="str">
        <f aca="false">IF(OR(G52="",B52=""),"",(84.88+1.83*G52-0.24*B52)/100)</f>
        <v/>
      </c>
      <c r="K52" s="20" t="str">
        <f aca="false">IF(I52="","",I52/(J52*J52)*(1-0.059))</f>
        <v/>
      </c>
      <c r="L52" s="19"/>
      <c r="M52" s="19"/>
      <c r="N52" s="19"/>
      <c r="O52" s="21" t="str">
        <f aca="false">IF(I52="","",I52*N52)</f>
        <v/>
      </c>
      <c r="P52" s="19"/>
      <c r="Q52" s="21" t="str">
        <f aca="false">IF(I52="","",P52*I52)</f>
        <v/>
      </c>
    </row>
    <row r="53" customFormat="false" ht="16.5" hidden="false" customHeight="true" outlineLevel="0" collapsed="false">
      <c r="A53" s="22"/>
      <c r="B53" s="23"/>
      <c r="C53" s="23"/>
      <c r="D53" s="23"/>
      <c r="E53" s="20" t="n">
        <f aca="false">C53-(D53*0.314)</f>
        <v>0</v>
      </c>
      <c r="F53" s="23"/>
      <c r="G53" s="23"/>
      <c r="H53" s="23"/>
      <c r="I53" s="20" t="str">
        <f aca="false">IF(OR(G53="",C53=""),"",((G53*1.5)+(C53*2.58)-84.22)*100/(100-5.9))</f>
        <v/>
      </c>
      <c r="J53" s="20" t="str">
        <f aca="false">IF(OR(G53="",B53=""),"",(84.88+1.83*G53-0.24*B53)/100)</f>
        <v/>
      </c>
      <c r="K53" s="20" t="str">
        <f aca="false">IF(I53="","",I53/(J53*J53)*(1-0.059))</f>
        <v/>
      </c>
      <c r="L53" s="23"/>
      <c r="M53" s="23"/>
      <c r="N53" s="23"/>
      <c r="O53" s="21" t="str">
        <f aca="false">IF(I53="","",I53*N53)</f>
        <v/>
      </c>
      <c r="P53" s="23"/>
      <c r="Q53" s="21" t="str">
        <f aca="false">IF(I53="","",P53*I53)</f>
        <v/>
      </c>
    </row>
    <row r="54" customFormat="false" ht="18" hidden="false" customHeight="true" outlineLevel="0" collapsed="false">
      <c r="A54" s="17" t="s">
        <v>83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</row>
    <row r="55" customFormat="false" ht="16.5" hidden="false" customHeight="true" outlineLevel="0" collapsed="false">
      <c r="A55" s="18"/>
      <c r="B55" s="19"/>
      <c r="C55" s="19"/>
      <c r="D55" s="19"/>
      <c r="E55" s="20" t="n">
        <f aca="false">C55-(D55*0.314)</f>
        <v>0</v>
      </c>
      <c r="F55" s="19"/>
      <c r="G55" s="19"/>
      <c r="H55" s="19"/>
      <c r="I55" s="20" t="str">
        <f aca="false">IF(OR(G55="",C55=""),"",(G55*1.1)+(C55*3.07)-75.81)</f>
        <v/>
      </c>
      <c r="J55" s="20" t="str">
        <f aca="false">IF(OR(G55="",B55=""),"",(64.19+2.04*G55-0.04*B55)/100)</f>
        <v/>
      </c>
      <c r="K55" s="20" t="str">
        <f aca="false">IF(I55="","",I55/(J55*J55))</f>
        <v/>
      </c>
      <c r="L55" s="19"/>
      <c r="M55" s="19"/>
      <c r="N55" s="19"/>
      <c r="O55" s="21" t="str">
        <f aca="false">IF(I55="","",I55*N55)</f>
        <v/>
      </c>
      <c r="P55" s="19"/>
      <c r="Q55" s="21" t="str">
        <f aca="false">IF(I55="","",P55*I55)</f>
        <v/>
      </c>
    </row>
    <row r="56" customFormat="false" ht="16.5" hidden="false" customHeight="true" outlineLevel="0" collapsed="false">
      <c r="A56" s="22"/>
      <c r="B56" s="23"/>
      <c r="C56" s="23"/>
      <c r="D56" s="23"/>
      <c r="E56" s="20" t="n">
        <f aca="false">C56-(D56*0.314)</f>
        <v>0</v>
      </c>
      <c r="F56" s="23"/>
      <c r="G56" s="23"/>
      <c r="H56" s="23"/>
      <c r="I56" s="20" t="str">
        <f aca="false">IF(OR(G56="",C56=""),"",(G56*1.1)+(C56*3.07)-75.81)</f>
        <v/>
      </c>
      <c r="J56" s="20" t="str">
        <f aca="false">IF(OR(G56="",B56=""),"",(64.19+2.04*G56-0.04*B56)/100)</f>
        <v/>
      </c>
      <c r="K56" s="20" t="str">
        <f aca="false">IF(I56="","",I56/(J56*J56))</f>
        <v/>
      </c>
      <c r="L56" s="23"/>
      <c r="M56" s="23"/>
      <c r="N56" s="23"/>
      <c r="O56" s="21" t="str">
        <f aca="false">IF(I56="","",I56*N56)</f>
        <v/>
      </c>
      <c r="P56" s="23"/>
      <c r="Q56" s="21" t="str">
        <f aca="false">IF(I56="","",P56*I56)</f>
        <v/>
      </c>
    </row>
    <row r="57" customFormat="false" ht="16.5" hidden="false" customHeight="true" outlineLevel="0" collapsed="false">
      <c r="A57" s="18"/>
      <c r="B57" s="19"/>
      <c r="C57" s="19"/>
      <c r="D57" s="19"/>
      <c r="E57" s="20" t="n">
        <f aca="false">C57-(D57*0.314)</f>
        <v>0</v>
      </c>
      <c r="F57" s="19"/>
      <c r="G57" s="19"/>
      <c r="H57" s="19"/>
      <c r="I57" s="20" t="str">
        <f aca="false">IF(OR(G57="",C57=""),"",(G57*1.1)+(C57*3.07)-75.81)</f>
        <v/>
      </c>
      <c r="J57" s="20" t="str">
        <f aca="false">IF(OR(G57="",B57=""),"",(64.19+2.04*G57-0.04*B57)/100)</f>
        <v/>
      </c>
      <c r="K57" s="20" t="str">
        <f aca="false">IF(I57="","",I57/(J57*J57))</f>
        <v/>
      </c>
      <c r="L57" s="19"/>
      <c r="M57" s="19"/>
      <c r="N57" s="19"/>
      <c r="O57" s="21" t="str">
        <f aca="false">IF(I57="","",I57*N57)</f>
        <v/>
      </c>
      <c r="P57" s="19"/>
      <c r="Q57" s="21" t="str">
        <f aca="false">IF(I57="","",P57*I57)</f>
        <v/>
      </c>
    </row>
    <row r="58" customFormat="false" ht="16.5" hidden="false" customHeight="true" outlineLevel="0" collapsed="false">
      <c r="A58" s="22"/>
      <c r="B58" s="23"/>
      <c r="C58" s="23"/>
      <c r="D58" s="23"/>
      <c r="E58" s="20" t="n">
        <f aca="false">C58-(D58*0.314)</f>
        <v>0</v>
      </c>
      <c r="F58" s="23"/>
      <c r="G58" s="23"/>
      <c r="H58" s="23"/>
      <c r="I58" s="20" t="str">
        <f aca="false">IF(OR(G58="",C58=""),"",(G58*1.1)+(C58*3.07)-75.81)</f>
        <v/>
      </c>
      <c r="J58" s="20" t="str">
        <f aca="false">IF(OR(G58="",B58=""),"",(64.19+2.04*G58-0.04*B58)/100)</f>
        <v/>
      </c>
      <c r="K58" s="20" t="str">
        <f aca="false">IF(I58="","",I58/(J58*J58))</f>
        <v/>
      </c>
      <c r="L58" s="23"/>
      <c r="M58" s="23"/>
      <c r="N58" s="23"/>
      <c r="O58" s="21" t="str">
        <f aca="false">IF(I58="","",I58*N58)</f>
        <v/>
      </c>
      <c r="P58" s="23"/>
      <c r="Q58" s="21" t="str">
        <f aca="false">IF(I58="","",P58*I58)</f>
        <v/>
      </c>
    </row>
    <row r="59" customFormat="false" ht="16.5" hidden="false" customHeight="true" outlineLevel="0" collapsed="false">
      <c r="A59" s="18"/>
      <c r="B59" s="19"/>
      <c r="C59" s="19"/>
      <c r="D59" s="19"/>
      <c r="E59" s="20" t="n">
        <f aca="false">C59-(D59*0.314)</f>
        <v>0</v>
      </c>
      <c r="F59" s="19"/>
      <c r="G59" s="19"/>
      <c r="H59" s="19"/>
      <c r="I59" s="20" t="str">
        <f aca="false">IF(OR(G59="",C59=""),"",(G59*1.1)+(C59*3.07)-75.81)</f>
        <v/>
      </c>
      <c r="J59" s="20" t="str">
        <f aca="false">IF(OR(G59="",B59=""),"",(64.19+2.04*G59-0.04*B59)/100)</f>
        <v/>
      </c>
      <c r="K59" s="20" t="str">
        <f aca="false">IF(I59="","",I59/(J59*J59))</f>
        <v/>
      </c>
      <c r="L59" s="19"/>
      <c r="M59" s="19"/>
      <c r="N59" s="19"/>
      <c r="O59" s="21" t="str">
        <f aca="false">IF(I59="","",I59*N59)</f>
        <v/>
      </c>
      <c r="P59" s="19"/>
      <c r="Q59" s="21" t="str">
        <f aca="false">IF(I59="","",P59*I59)</f>
        <v/>
      </c>
    </row>
    <row r="60" customFormat="false" ht="16.5" hidden="false" customHeight="true" outlineLevel="0" collapsed="false">
      <c r="A60" s="22"/>
      <c r="B60" s="23"/>
      <c r="C60" s="23"/>
      <c r="D60" s="23"/>
      <c r="E60" s="20" t="n">
        <f aca="false">C60-(D60*0.314)</f>
        <v>0</v>
      </c>
      <c r="F60" s="23"/>
      <c r="G60" s="23"/>
      <c r="H60" s="23"/>
      <c r="I60" s="20" t="str">
        <f aca="false">IF(OR(G60="",C60=""),"",(G60*1.1)+(C60*3.07)-75.81)</f>
        <v/>
      </c>
      <c r="J60" s="20" t="str">
        <f aca="false">IF(OR(G60="",B60=""),"",(64.19+2.04*G60-0.04*B60)/100)</f>
        <v/>
      </c>
      <c r="K60" s="20" t="str">
        <f aca="false">IF(I60="","",I60/(J60*J60))</f>
        <v/>
      </c>
      <c r="L60" s="23"/>
      <c r="M60" s="23"/>
      <c r="N60" s="23"/>
      <c r="O60" s="21" t="str">
        <f aca="false">IF(I60="","",I60*N60)</f>
        <v/>
      </c>
      <c r="P60" s="23"/>
      <c r="Q60" s="21" t="str">
        <f aca="false">IF(I60="","",P60*I60)</f>
        <v/>
      </c>
    </row>
    <row r="61" customFormat="false" ht="18" hidden="false" customHeight="true" outlineLevel="0" collapsed="false">
      <c r="A61" s="17" t="s">
        <v>84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</row>
    <row r="62" customFormat="false" ht="16.5" hidden="false" customHeight="true" outlineLevel="0" collapsed="false">
      <c r="A62" s="18"/>
      <c r="B62" s="19"/>
      <c r="C62" s="19"/>
      <c r="D62" s="19"/>
      <c r="E62" s="20" t="n">
        <f aca="false">C62-(D62*0.314)</f>
        <v>0</v>
      </c>
      <c r="F62" s="19"/>
      <c r="G62" s="19"/>
      <c r="H62" s="19"/>
      <c r="I62" s="20" t="str">
        <f aca="false">IF(OR(G62="",C62=""),"",(G62*0.44)+(C62*2.86)-39.21)</f>
        <v/>
      </c>
      <c r="J62" s="20" t="str">
        <f aca="false">IF(OR(G62="",B62=""),"",(64.19+2.04*G62-0.04*B62)/100)</f>
        <v/>
      </c>
      <c r="K62" s="20" t="str">
        <f aca="false">IF(I62="","",I62/(J62*J62))</f>
        <v/>
      </c>
      <c r="L62" s="19"/>
      <c r="M62" s="19"/>
      <c r="N62" s="19"/>
      <c r="O62" s="21" t="str">
        <f aca="false">IF(I62="","",I62*N62)</f>
        <v/>
      </c>
      <c r="P62" s="19"/>
      <c r="Q62" s="21" t="str">
        <f aca="false">IF(I62="","",P62*I62)</f>
        <v/>
      </c>
    </row>
    <row r="63" customFormat="false" ht="16.5" hidden="false" customHeight="true" outlineLevel="0" collapsed="false">
      <c r="A63" s="22"/>
      <c r="B63" s="23"/>
      <c r="C63" s="23"/>
      <c r="D63" s="23"/>
      <c r="E63" s="20" t="n">
        <f aca="false">C63-(D63*0.314)</f>
        <v>0</v>
      </c>
      <c r="F63" s="23"/>
      <c r="G63" s="23"/>
      <c r="H63" s="23"/>
      <c r="I63" s="20" t="str">
        <f aca="false">IF(OR(G63="",C63=""),"",(G63*0.44)+(C63*2.86)-39.21)</f>
        <v/>
      </c>
      <c r="J63" s="20" t="str">
        <f aca="false">IF(OR(G63="",B63=""),"",(64.19+2.04*G63-0.04*B63)/100)</f>
        <v/>
      </c>
      <c r="K63" s="20" t="str">
        <f aca="false">IF(I63="","",I63/(J63*J63))</f>
        <v/>
      </c>
      <c r="L63" s="23"/>
      <c r="M63" s="23"/>
      <c r="N63" s="23"/>
      <c r="O63" s="21" t="str">
        <f aca="false">IF(I63="","",I63*N63)</f>
        <v/>
      </c>
      <c r="P63" s="23"/>
      <c r="Q63" s="21" t="str">
        <f aca="false">IF(I63="","",P63*I63)</f>
        <v/>
      </c>
    </row>
    <row r="64" customFormat="false" ht="16.5" hidden="false" customHeight="true" outlineLevel="0" collapsed="false">
      <c r="A64" s="18"/>
      <c r="B64" s="19"/>
      <c r="C64" s="19"/>
      <c r="D64" s="19"/>
      <c r="E64" s="20" t="n">
        <f aca="false">C64-(D64*0.314)</f>
        <v>0</v>
      </c>
      <c r="F64" s="19"/>
      <c r="G64" s="19"/>
      <c r="H64" s="19"/>
      <c r="I64" s="20" t="str">
        <f aca="false">IF(OR(G64="",C64=""),"",(G64*0.44)+(C64*2.86)-39.21)</f>
        <v/>
      </c>
      <c r="J64" s="20" t="str">
        <f aca="false">IF(OR(G64="",B64=""),"",(64.19+2.04*G64-0.04*B64)/100)</f>
        <v/>
      </c>
      <c r="K64" s="20" t="str">
        <f aca="false">IF(I64="","",I64/(J64*J64))</f>
        <v/>
      </c>
      <c r="L64" s="19"/>
      <c r="M64" s="19"/>
      <c r="N64" s="19"/>
      <c r="O64" s="21" t="str">
        <f aca="false">IF(I64="","",I64*N64)</f>
        <v/>
      </c>
      <c r="P64" s="19"/>
      <c r="Q64" s="21" t="str">
        <f aca="false">IF(I64="","",P64*I64)</f>
        <v/>
      </c>
    </row>
    <row r="65" customFormat="false" ht="16.5" hidden="false" customHeight="true" outlineLevel="0" collapsed="false">
      <c r="A65" s="22"/>
      <c r="B65" s="23"/>
      <c r="C65" s="23"/>
      <c r="D65" s="23"/>
      <c r="E65" s="20" t="n">
        <f aca="false">C65-(D65*0.314)</f>
        <v>0</v>
      </c>
      <c r="F65" s="23"/>
      <c r="G65" s="23"/>
      <c r="H65" s="23"/>
      <c r="I65" s="20" t="str">
        <f aca="false">IF(OR(G65="",C65=""),"",(G65*0.44)+(C65*2.86)-39.21)</f>
        <v/>
      </c>
      <c r="J65" s="20" t="str">
        <f aca="false">IF(OR(G65="",B65=""),"",(64.19+2.04*G65-0.04*B65)/100)</f>
        <v/>
      </c>
      <c r="K65" s="20" t="str">
        <f aca="false">IF(I65="","",I65/(J65*J65))</f>
        <v/>
      </c>
      <c r="L65" s="23"/>
      <c r="M65" s="23"/>
      <c r="N65" s="23"/>
      <c r="O65" s="21" t="str">
        <f aca="false">IF(I65="","",I65*N65)</f>
        <v/>
      </c>
      <c r="P65" s="23"/>
      <c r="Q65" s="21" t="str">
        <f aca="false">IF(I65="","",P65*I65)</f>
        <v/>
      </c>
    </row>
    <row r="66" customFormat="false" ht="16.5" hidden="false" customHeight="true" outlineLevel="0" collapsed="false">
      <c r="A66" s="18"/>
      <c r="B66" s="19"/>
      <c r="C66" s="19"/>
      <c r="D66" s="19"/>
      <c r="E66" s="20" t="n">
        <f aca="false">C66-(D66*0.314)</f>
        <v>0</v>
      </c>
      <c r="F66" s="19"/>
      <c r="G66" s="19"/>
      <c r="H66" s="19"/>
      <c r="I66" s="20" t="str">
        <f aca="false">IF(OR(G66="",C66=""),"",(G66*0.44)+(C66*2.86)-39.21)</f>
        <v/>
      </c>
      <c r="J66" s="20" t="str">
        <f aca="false">IF(OR(G66="",B66=""),"",(64.19+2.04*G66-0.04*B66)/100)</f>
        <v/>
      </c>
      <c r="K66" s="20" t="str">
        <f aca="false">IF(I66="","",I66/(J66*J66))</f>
        <v/>
      </c>
      <c r="L66" s="19"/>
      <c r="M66" s="19"/>
      <c r="N66" s="19"/>
      <c r="O66" s="21" t="str">
        <f aca="false">IF(I66="","",I66*N66)</f>
        <v/>
      </c>
      <c r="P66" s="19"/>
      <c r="Q66" s="21" t="str">
        <f aca="false">IF(I66="","",P66*I66)</f>
        <v/>
      </c>
    </row>
    <row r="67" customFormat="false" ht="16.5" hidden="false" customHeight="true" outlineLevel="0" collapsed="false">
      <c r="A67" s="22"/>
      <c r="B67" s="23"/>
      <c r="C67" s="23"/>
      <c r="D67" s="23"/>
      <c r="E67" s="20" t="n">
        <f aca="false">C67-(D67*0.314)</f>
        <v>0</v>
      </c>
      <c r="F67" s="23"/>
      <c r="G67" s="23"/>
      <c r="H67" s="23"/>
      <c r="I67" s="20" t="str">
        <f aca="false">IF(OR(G67="",C67=""),"",(G67*0.44)+(C67*2.86)-39.21)</f>
        <v/>
      </c>
      <c r="J67" s="20" t="str">
        <f aca="false">IF(OR(G67="",B67=""),"",(64.19+2.04*G67-0.04*B67)/100)</f>
        <v/>
      </c>
      <c r="K67" s="20" t="str">
        <f aca="false">IF(I67="","",I67/(J67*J67))</f>
        <v/>
      </c>
      <c r="L67" s="23"/>
      <c r="M67" s="23"/>
      <c r="N67" s="23"/>
      <c r="O67" s="21" t="str">
        <f aca="false">IF(I67="","",I67*N67)</f>
        <v/>
      </c>
      <c r="P67" s="23"/>
      <c r="Q67" s="21" t="str">
        <f aca="false">IF(I67="","",P67*I67)</f>
        <v/>
      </c>
    </row>
    <row r="68" customFormat="false" ht="18" hidden="false" customHeight="true" outlineLevel="0" collapsed="false">
      <c r="A68" s="24" t="s">
        <v>85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</row>
    <row r="69" customFormat="false" ht="16.5" hidden="false" customHeight="true" outlineLevel="0" collapsed="false">
      <c r="A69" s="18"/>
      <c r="B69" s="19"/>
      <c r="C69" s="19"/>
      <c r="D69" s="19"/>
      <c r="E69" s="20" t="n">
        <f aca="false">C69-(D69*0.314)</f>
        <v>0</v>
      </c>
      <c r="F69" s="19"/>
      <c r="G69" s="19"/>
      <c r="H69" s="19"/>
      <c r="I69" s="20" t="str">
        <f aca="false">IF(OR(G69="",C69=""),"",((G69*1.1)+(C69*3.07)-75.81)*100/(100-5.9))</f>
        <v/>
      </c>
      <c r="J69" s="20" t="str">
        <f aca="false">IF(OR(G69="",B69=""),"",(64.19+2.04*G69-0.04*B69)/100)</f>
        <v/>
      </c>
      <c r="K69" s="20" t="str">
        <f aca="false">IF(I69="","",I69/(J69*J69)*(1-0.059))</f>
        <v/>
      </c>
      <c r="L69" s="19"/>
      <c r="M69" s="19"/>
      <c r="N69" s="19"/>
      <c r="O69" s="21" t="str">
        <f aca="false">IF(I69="","",I69*N69)</f>
        <v/>
      </c>
      <c r="P69" s="19"/>
      <c r="Q69" s="21" t="str">
        <f aca="false">IF(I69="","",P69*I69)</f>
        <v/>
      </c>
    </row>
    <row r="70" customFormat="false" ht="16.5" hidden="false" customHeight="true" outlineLevel="0" collapsed="false">
      <c r="A70" s="22"/>
      <c r="B70" s="23"/>
      <c r="C70" s="23"/>
      <c r="D70" s="23"/>
      <c r="E70" s="20" t="n">
        <f aca="false">C70-(D70*0.314)</f>
        <v>0</v>
      </c>
      <c r="F70" s="23"/>
      <c r="G70" s="23"/>
      <c r="H70" s="23"/>
      <c r="I70" s="20" t="str">
        <f aca="false">IF(OR(G70="",C70=""),"",((G70*1.1)+(C70*3.07)-75.81)*100/(100-5.9))</f>
        <v/>
      </c>
      <c r="J70" s="20" t="str">
        <f aca="false">IF(OR(G70="",B70=""),"",(64.19+2.04*G70-0.04*B70)/100)</f>
        <v/>
      </c>
      <c r="K70" s="20" t="str">
        <f aca="false">IF(I70="","",I70/(J70*J70)*(1-0.059))</f>
        <v/>
      </c>
      <c r="L70" s="23"/>
      <c r="M70" s="23"/>
      <c r="N70" s="23"/>
      <c r="O70" s="21" t="str">
        <f aca="false">IF(I70="","",I70*N70)</f>
        <v/>
      </c>
      <c r="P70" s="23"/>
      <c r="Q70" s="21" t="str">
        <f aca="false">IF(I70="","",P70*I70)</f>
        <v/>
      </c>
    </row>
    <row r="71" customFormat="false" ht="16.5" hidden="false" customHeight="true" outlineLevel="0" collapsed="false">
      <c r="A71" s="18"/>
      <c r="B71" s="19"/>
      <c r="C71" s="19"/>
      <c r="D71" s="19"/>
      <c r="E71" s="20" t="n">
        <f aca="false">C71-(D71*0.314)</f>
        <v>0</v>
      </c>
      <c r="F71" s="19"/>
      <c r="G71" s="19"/>
      <c r="H71" s="19"/>
      <c r="I71" s="20" t="str">
        <f aca="false">IF(OR(G71="",C71=""),"",((G71*1.1)+(C71*3.07)-75.81)*100/(100-5.9))</f>
        <v/>
      </c>
      <c r="J71" s="20" t="str">
        <f aca="false">IF(OR(G71="",B71=""),"",(64.19+2.04*G71-0.04*B71)/100)</f>
        <v/>
      </c>
      <c r="K71" s="20" t="str">
        <f aca="false">IF(I71="","",I71/(J71*J71)*(1-0.059))</f>
        <v/>
      </c>
      <c r="L71" s="19"/>
      <c r="M71" s="19"/>
      <c r="N71" s="19"/>
      <c r="O71" s="21" t="str">
        <f aca="false">IF(I71="","",I71*N71)</f>
        <v/>
      </c>
      <c r="P71" s="19"/>
      <c r="Q71" s="21" t="str">
        <f aca="false">IF(I71="","",P71*I71)</f>
        <v/>
      </c>
    </row>
    <row r="72" customFormat="false" ht="16.5" hidden="false" customHeight="true" outlineLevel="0" collapsed="false">
      <c r="A72" s="22"/>
      <c r="B72" s="23"/>
      <c r="C72" s="23"/>
      <c r="D72" s="23"/>
      <c r="E72" s="20" t="n">
        <f aca="false">C72-(D72*0.314)</f>
        <v>0</v>
      </c>
      <c r="F72" s="23"/>
      <c r="G72" s="23"/>
      <c r="H72" s="23"/>
      <c r="I72" s="20" t="str">
        <f aca="false">IF(OR(G72="",C72=""),"",((G72*1.1)+(C72*3.07)-75.81)*100/(100-5.9))</f>
        <v/>
      </c>
      <c r="J72" s="20" t="str">
        <f aca="false">IF(OR(G72="",B72=""),"",(64.19+2.04*G72-0.04*B72)/100)</f>
        <v/>
      </c>
      <c r="K72" s="20" t="str">
        <f aca="false">IF(I72="","",I72/(J72*J72)*(1-0.059))</f>
        <v/>
      </c>
      <c r="L72" s="23"/>
      <c r="M72" s="23"/>
      <c r="N72" s="23"/>
      <c r="O72" s="21" t="str">
        <f aca="false">IF(I72="","",I72*N72)</f>
        <v/>
      </c>
      <c r="P72" s="23"/>
      <c r="Q72" s="21" t="str">
        <f aca="false">IF(I72="","",P72*I72)</f>
        <v/>
      </c>
    </row>
    <row r="73" customFormat="false" ht="16.5" hidden="false" customHeight="true" outlineLevel="0" collapsed="false">
      <c r="A73" s="18"/>
      <c r="B73" s="19"/>
      <c r="C73" s="19"/>
      <c r="D73" s="19"/>
      <c r="E73" s="20" t="n">
        <f aca="false">C73-(D73*0.314)</f>
        <v>0</v>
      </c>
      <c r="F73" s="19"/>
      <c r="G73" s="19"/>
      <c r="H73" s="19"/>
      <c r="I73" s="20" t="str">
        <f aca="false">IF(OR(G73="",C73=""),"",((G73*1.1)+(C73*3.07)-75.81)*100/(100-5.9))</f>
        <v/>
      </c>
      <c r="J73" s="20" t="str">
        <f aca="false">IF(OR(G73="",B73=""),"",(64.19+2.04*G73-0.04*B73)/100)</f>
        <v/>
      </c>
      <c r="K73" s="20" t="str">
        <f aca="false">IF(I73="","",I73/(J73*J73)*(1-0.059))</f>
        <v/>
      </c>
      <c r="L73" s="19"/>
      <c r="M73" s="19"/>
      <c r="N73" s="19"/>
      <c r="O73" s="21" t="str">
        <f aca="false">IF(I73="","",I73*N73)</f>
        <v/>
      </c>
      <c r="P73" s="19"/>
      <c r="Q73" s="21" t="str">
        <f aca="false">IF(I73="","",P73*I73)</f>
        <v/>
      </c>
    </row>
    <row r="74" customFormat="false" ht="16.5" hidden="false" customHeight="true" outlineLevel="0" collapsed="false">
      <c r="A74" s="22"/>
      <c r="B74" s="23"/>
      <c r="C74" s="23"/>
      <c r="D74" s="23"/>
      <c r="E74" s="20" t="n">
        <f aca="false">C74-(D74*0.314)</f>
        <v>0</v>
      </c>
      <c r="F74" s="23"/>
      <c r="G74" s="23"/>
      <c r="H74" s="23"/>
      <c r="I74" s="20" t="str">
        <f aca="false">IF(OR(G74="",C74=""),"",((G74*1.1)+(C74*3.07)-75.81)*100/(100-5.9))</f>
        <v/>
      </c>
      <c r="J74" s="20" t="str">
        <f aca="false">IF(OR(G74="",B74=""),"",(64.19+2.04*G74-0.04*B74)/100)</f>
        <v/>
      </c>
      <c r="K74" s="20" t="str">
        <f aca="false">IF(I74="","",I74/(J74*J74)*(1-0.059))</f>
        <v/>
      </c>
      <c r="L74" s="23"/>
      <c r="M74" s="23"/>
      <c r="N74" s="23"/>
      <c r="O74" s="21" t="str">
        <f aca="false">IF(I74="","",I74*N74)</f>
        <v/>
      </c>
      <c r="P74" s="23"/>
      <c r="Q74" s="21" t="str">
        <f aca="false">IF(I74="","",P74*I74)</f>
        <v/>
      </c>
    </row>
    <row r="75" customFormat="false" ht="18" hidden="false" customHeight="true" outlineLevel="0" collapsed="false">
      <c r="A75" s="24" t="s">
        <v>86</v>
      </c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</row>
    <row r="76" customFormat="false" ht="16.5" hidden="false" customHeight="true" outlineLevel="0" collapsed="false">
      <c r="A76" s="18"/>
      <c r="B76" s="19"/>
      <c r="C76" s="19"/>
      <c r="D76" s="19"/>
      <c r="E76" s="20" t="n">
        <f aca="false">C76-(D76*0.314)</f>
        <v>0</v>
      </c>
      <c r="F76" s="19"/>
      <c r="G76" s="19"/>
      <c r="H76" s="19"/>
      <c r="I76" s="20" t="str">
        <f aca="false">IF(OR(G76="",C76=""),"",((G76*0.44)+(C76*2.86)-39.21)*100/(100-5.9))</f>
        <v/>
      </c>
      <c r="J76" s="20" t="str">
        <f aca="false">IF(OR(G76="",B76=""),"",(64.19+2.04*G76-0.04*B76)/100)</f>
        <v/>
      </c>
      <c r="K76" s="20" t="str">
        <f aca="false">IF(I76="","",I76/(J76*J76)*(1-0.059))</f>
        <v/>
      </c>
      <c r="L76" s="19"/>
      <c r="M76" s="19"/>
      <c r="N76" s="19"/>
      <c r="O76" s="21" t="str">
        <f aca="false">IF(I76="","",I76*N76)</f>
        <v/>
      </c>
      <c r="P76" s="19"/>
      <c r="Q76" s="21" t="str">
        <f aca="false">IF(I76="","",P76*I76)</f>
        <v/>
      </c>
    </row>
    <row r="77" customFormat="false" ht="16.5" hidden="false" customHeight="true" outlineLevel="0" collapsed="false">
      <c r="A77" s="22"/>
      <c r="B77" s="23"/>
      <c r="C77" s="23"/>
      <c r="D77" s="23"/>
      <c r="E77" s="20" t="n">
        <f aca="false">C77-(D77*0.314)</f>
        <v>0</v>
      </c>
      <c r="F77" s="23"/>
      <c r="G77" s="23"/>
      <c r="H77" s="23"/>
      <c r="I77" s="20" t="str">
        <f aca="false">IF(OR(G77="",C77=""),"",((G77*0.44)+(C77*2.86)-39.21)*100/(100-5.9))</f>
        <v/>
      </c>
      <c r="J77" s="20" t="str">
        <f aca="false">IF(OR(G77="",B77=""),"",(64.19+2.04*G77-0.04*B77)/100)</f>
        <v/>
      </c>
      <c r="K77" s="20" t="str">
        <f aca="false">IF(I77="","",I77/(J77*J77)*(1-0.059))</f>
        <v/>
      </c>
      <c r="L77" s="23"/>
      <c r="M77" s="23"/>
      <c r="N77" s="23"/>
      <c r="O77" s="21" t="str">
        <f aca="false">IF(I77="","",I77*N77)</f>
        <v/>
      </c>
      <c r="P77" s="23"/>
      <c r="Q77" s="21" t="str">
        <f aca="false">IF(I77="","",P77*I77)</f>
        <v/>
      </c>
    </row>
    <row r="78" customFormat="false" ht="16.5" hidden="false" customHeight="true" outlineLevel="0" collapsed="false">
      <c r="A78" s="18"/>
      <c r="B78" s="19"/>
      <c r="C78" s="19"/>
      <c r="D78" s="19"/>
      <c r="E78" s="20" t="n">
        <f aca="false">C78-(D78*0.314)</f>
        <v>0</v>
      </c>
      <c r="F78" s="19"/>
      <c r="G78" s="19"/>
      <c r="H78" s="19"/>
      <c r="I78" s="20" t="str">
        <f aca="false">IF(OR(G78="",C78=""),"",((G78*0.44)+(C78*2.86)-39.21)*100/(100-5.9))</f>
        <v/>
      </c>
      <c r="J78" s="20" t="str">
        <f aca="false">IF(OR(G78="",B78=""),"",(64.19+2.04*G78-0.04*B78)/100)</f>
        <v/>
      </c>
      <c r="K78" s="20" t="str">
        <f aca="false">IF(I78="","",I78/(J78*J78)*(1-0.059))</f>
        <v/>
      </c>
      <c r="L78" s="19"/>
      <c r="M78" s="19"/>
      <c r="N78" s="19"/>
      <c r="O78" s="21" t="str">
        <f aca="false">IF(I78="","",I78*N78)</f>
        <v/>
      </c>
      <c r="P78" s="19"/>
      <c r="Q78" s="21" t="str">
        <f aca="false">IF(I78="","",P78*I78)</f>
        <v/>
      </c>
    </row>
    <row r="79" customFormat="false" ht="16.5" hidden="false" customHeight="true" outlineLevel="0" collapsed="false">
      <c r="A79" s="22"/>
      <c r="B79" s="23"/>
      <c r="C79" s="23"/>
      <c r="D79" s="23"/>
      <c r="E79" s="20" t="n">
        <f aca="false">C79-(D79*0.314)</f>
        <v>0</v>
      </c>
      <c r="F79" s="23"/>
      <c r="G79" s="23"/>
      <c r="H79" s="23"/>
      <c r="I79" s="20" t="str">
        <f aca="false">IF(OR(G79="",C79=""),"",((G79*0.44)+(C79*2.86)-39.21)*100/(100-5.9))</f>
        <v/>
      </c>
      <c r="J79" s="20" t="str">
        <f aca="false">IF(OR(G79="",B79=""),"",(64.19+2.04*G79-0.04*B79)/100)</f>
        <v/>
      </c>
      <c r="K79" s="20" t="str">
        <f aca="false">IF(I79="","",I79/(J79*J79)*(1-0.059))</f>
        <v/>
      </c>
      <c r="L79" s="23"/>
      <c r="M79" s="23"/>
      <c r="N79" s="23"/>
      <c r="O79" s="21" t="str">
        <f aca="false">IF(I79="","",I79*N79)</f>
        <v/>
      </c>
      <c r="P79" s="23"/>
      <c r="Q79" s="21" t="str">
        <f aca="false">IF(I79="","",P79*I79)</f>
        <v/>
      </c>
    </row>
    <row r="80" customFormat="false" ht="16.5" hidden="false" customHeight="true" outlineLevel="0" collapsed="false">
      <c r="A80" s="18"/>
      <c r="B80" s="19"/>
      <c r="C80" s="19"/>
      <c r="D80" s="19"/>
      <c r="E80" s="20" t="n">
        <f aca="false">C80-(D80*0.314)</f>
        <v>0</v>
      </c>
      <c r="F80" s="19"/>
      <c r="G80" s="19"/>
      <c r="H80" s="19"/>
      <c r="I80" s="20" t="str">
        <f aca="false">IF(OR(G80="",C80=""),"",((G80*0.44)+(C80*2.86)-39.21)*100/(100-5.9))</f>
        <v/>
      </c>
      <c r="J80" s="20" t="str">
        <f aca="false">IF(OR(G80="",B80=""),"",(64.19+2.04*G80-0.04*B80)/100)</f>
        <v/>
      </c>
      <c r="K80" s="20" t="str">
        <f aca="false">IF(I80="","",I80/(J80*J80)*(1-0.059))</f>
        <v/>
      </c>
      <c r="L80" s="19"/>
      <c r="M80" s="19"/>
      <c r="N80" s="19"/>
      <c r="O80" s="21" t="str">
        <f aca="false">IF(I80="","",I80*N80)</f>
        <v/>
      </c>
      <c r="P80" s="19"/>
      <c r="Q80" s="21" t="str">
        <f aca="false">IF(I80="","",P80*I80)</f>
        <v/>
      </c>
    </row>
    <row r="81" customFormat="false" ht="16.5" hidden="false" customHeight="true" outlineLevel="0" collapsed="false">
      <c r="A81" s="22"/>
      <c r="B81" s="23"/>
      <c r="C81" s="23"/>
      <c r="D81" s="23"/>
      <c r="E81" s="20" t="n">
        <f aca="false">C81-(D81*0.314)</f>
        <v>0</v>
      </c>
      <c r="F81" s="23"/>
      <c r="G81" s="23"/>
      <c r="H81" s="23"/>
      <c r="I81" s="20" t="str">
        <f aca="false">IF(OR(G81="",C81=""),"",((G81*0.44)+(C81*2.86)-39.21)*100/(100-5.9))</f>
        <v/>
      </c>
      <c r="J81" s="20" t="str">
        <f aca="false">IF(OR(G81="",B81=""),"",(64.19+2.04*G81-0.04*B81)/100)</f>
        <v/>
      </c>
      <c r="K81" s="20" t="str">
        <f aca="false">IF(I81="","",I81/(J81*J81)*(1-0.059))</f>
        <v/>
      </c>
      <c r="L81" s="23"/>
      <c r="M81" s="23"/>
      <c r="N81" s="23"/>
      <c r="O81" s="21" t="str">
        <f aca="false">IF(I81="","",I81*N81)</f>
        <v/>
      </c>
      <c r="P81" s="23"/>
      <c r="Q81" s="21" t="str">
        <f aca="false">IF(I81="","",P81*I81)</f>
        <v/>
      </c>
    </row>
    <row r="83" customFormat="false" ht="24" hidden="false" customHeight="true" outlineLevel="0" collapsed="false">
      <c r="A83" s="25" t="s">
        <v>87</v>
      </c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</row>
  </sheetData>
  <mergeCells count="74">
    <mergeCell ref="A1:Q1"/>
    <mergeCell ref="A2:C2"/>
    <mergeCell ref="D2:G2"/>
    <mergeCell ref="H2:I2"/>
    <mergeCell ref="J2:L2"/>
    <mergeCell ref="M2:N2"/>
    <mergeCell ref="O2:Q2"/>
    <mergeCell ref="A4:Q4"/>
    <mergeCell ref="B5:G5"/>
    <mergeCell ref="H5:M5"/>
    <mergeCell ref="N5:Q5"/>
    <mergeCell ref="B6:G6"/>
    <mergeCell ref="H6:M6"/>
    <mergeCell ref="N6:Q6"/>
    <mergeCell ref="B7:G7"/>
    <mergeCell ref="H7:M7"/>
    <mergeCell ref="N7:Q7"/>
    <mergeCell ref="B8:G8"/>
    <mergeCell ref="H8:M8"/>
    <mergeCell ref="N8:Q8"/>
    <mergeCell ref="B9:G9"/>
    <mergeCell ref="H9:M9"/>
    <mergeCell ref="N9:Q9"/>
    <mergeCell ref="B10:G10"/>
    <mergeCell ref="H10:M10"/>
    <mergeCell ref="N10:Q10"/>
    <mergeCell ref="B11:G11"/>
    <mergeCell ref="H11:M11"/>
    <mergeCell ref="N11:Q11"/>
    <mergeCell ref="B12:G12"/>
    <mergeCell ref="H12:M12"/>
    <mergeCell ref="N12:Q12"/>
    <mergeCell ref="B13:G13"/>
    <mergeCell ref="H13:M13"/>
    <mergeCell ref="N13:Q13"/>
    <mergeCell ref="B14:G14"/>
    <mergeCell ref="H14:M14"/>
    <mergeCell ref="N14:Q14"/>
    <mergeCell ref="B15:G15"/>
    <mergeCell ref="H15:M15"/>
    <mergeCell ref="N15:Q15"/>
    <mergeCell ref="B16:G16"/>
    <mergeCell ref="H16:M16"/>
    <mergeCell ref="N16:Q16"/>
    <mergeCell ref="B17:G17"/>
    <mergeCell ref="H17:M17"/>
    <mergeCell ref="N17:Q17"/>
    <mergeCell ref="B18:G18"/>
    <mergeCell ref="H18:M18"/>
    <mergeCell ref="N18:Q18"/>
    <mergeCell ref="B19:G19"/>
    <mergeCell ref="H19:M19"/>
    <mergeCell ref="N19:Q19"/>
    <mergeCell ref="B20:G20"/>
    <mergeCell ref="H20:M20"/>
    <mergeCell ref="N20:Q20"/>
    <mergeCell ref="B21:G21"/>
    <mergeCell ref="H21:M21"/>
    <mergeCell ref="N21:Q21"/>
    <mergeCell ref="B22:G22"/>
    <mergeCell ref="H22:M22"/>
    <mergeCell ref="N22:Q22"/>
    <mergeCell ref="B23:G23"/>
    <mergeCell ref="H23:M23"/>
    <mergeCell ref="N23:Q23"/>
    <mergeCell ref="A26:Q26"/>
    <mergeCell ref="A33:Q33"/>
    <mergeCell ref="A40:Q40"/>
    <mergeCell ref="A47:Q47"/>
    <mergeCell ref="A54:Q54"/>
    <mergeCell ref="A61:Q61"/>
    <mergeCell ref="A68:Q68"/>
    <mergeCell ref="A75:Q75"/>
    <mergeCell ref="A83:Q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2026-04-08T23:05:13Z</dcterms:created>
  <dc:creator>openpyxl</dc:creator>
  <dc:description/>
  <dc:language>en-US</dc:language>
  <cp:lastModifiedBy/>
  <dcterms:modified xsi:type="dcterms:W3CDTF">2026-04-08T23:05:13Z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