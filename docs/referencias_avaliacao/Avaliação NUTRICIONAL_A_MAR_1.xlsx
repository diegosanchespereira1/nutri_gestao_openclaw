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e262914e74e0a667/Área de Trabalho/CLIENTES 2025/A.Mar/Avaliação Nutricional/2025/"/>
    </mc:Choice>
  </mc:AlternateContent>
  <xr:revisionPtr revIDLastSave="1" documentId="8_{E8A461CB-A29D-41A7-83B9-CBA028D6FA4F}" xr6:coauthVersionLast="47" xr6:coauthVersionMax="47" xr10:uidLastSave="{BB580C60-2EF2-4B3E-8930-928EE8847CB2}"/>
  <bookViews>
    <workbookView xWindow="-108" yWindow="-108" windowWidth="23256" windowHeight="12456" firstSheet="18" activeTab="24" xr2:uid="{00000000-000D-0000-FFFF-FFFF00000000}"/>
  </bookViews>
  <sheets>
    <sheet name="BERÇÁRIO 1" sheetId="1" r:id="rId1"/>
    <sheet name="Av. Individual B1" sheetId="2" r:id="rId2"/>
    <sheet name="BERÇÁRIO 2" sheetId="3" r:id="rId3"/>
    <sheet name="Av. Individual B2" sheetId="4" r:id="rId4"/>
    <sheet name="Mini Baby" sheetId="5" r:id="rId5"/>
    <sheet name="Av. Individual MBaby" sheetId="6" r:id="rId6"/>
    <sheet name="Mini Maternal A" sheetId="7" r:id="rId7"/>
    <sheet name="Av. Individual MMA" sheetId="8" r:id="rId8"/>
    <sheet name="Mini Maternal B" sheetId="9" r:id="rId9"/>
    <sheet name="Av. Individual MMB" sheetId="10" r:id="rId10"/>
    <sheet name="Maternal A " sheetId="11" r:id="rId11"/>
    <sheet name="Av. Individual Maternal A" sheetId="31" r:id="rId12"/>
    <sheet name="Maternal B" sheetId="12" r:id="rId13"/>
    <sheet name="Av. Individual Maternal B" sheetId="13" r:id="rId14"/>
    <sheet name="Maternal C" sheetId="14" r:id="rId15"/>
    <sheet name="Av. Individual Maternal C" sheetId="15" r:id="rId16"/>
    <sheet name="Jardim 1A " sheetId="16" r:id="rId17"/>
    <sheet name="Av. Individual J1A" sheetId="17" r:id="rId18"/>
    <sheet name="Jardim 1B" sheetId="18" r:id="rId19"/>
    <sheet name="Av. Nutricional 1B" sheetId="19" r:id="rId20"/>
    <sheet name="Jardim 2A" sheetId="20" r:id="rId21"/>
    <sheet name="Av. Individual J2A" sheetId="21" r:id="rId22"/>
    <sheet name="Jardim 2B" sheetId="22" r:id="rId23"/>
    <sheet name="Av. Individual J2B" sheetId="23" r:id="rId24"/>
    <sheet name="Fechamento" sheetId="30" r:id="rId25"/>
  </sheets>
  <calcPr calcId="181029"/>
</workbook>
</file>

<file path=xl/calcChain.xml><?xml version="1.0" encoding="utf-8"?>
<calcChain xmlns="http://schemas.openxmlformats.org/spreadsheetml/2006/main">
  <c r="B8" i="30" l="1"/>
  <c r="C6" i="30"/>
  <c r="C5" i="30"/>
  <c r="C4" i="30"/>
  <c r="C3" i="30"/>
  <c r="B3" i="30"/>
  <c r="B6" i="30"/>
  <c r="B5" i="30"/>
  <c r="B4" i="30"/>
  <c r="O8" i="1"/>
  <c r="N8" i="1"/>
  <c r="O9" i="1" s="1"/>
  <c r="O9" i="22"/>
  <c r="O8" i="22"/>
  <c r="N8" i="22"/>
  <c r="O9" i="20"/>
  <c r="O8" i="20"/>
  <c r="N8" i="20"/>
  <c r="O9" i="18"/>
  <c r="O8" i="18"/>
  <c r="N8" i="18"/>
  <c r="O9" i="16"/>
  <c r="O8" i="16"/>
  <c r="N8" i="16"/>
  <c r="O9" i="14"/>
  <c r="N8" i="14"/>
  <c r="O8" i="14"/>
  <c r="O9" i="12"/>
  <c r="O8" i="12"/>
  <c r="N8" i="12"/>
  <c r="O9" i="11"/>
  <c r="O8" i="11"/>
  <c r="N8" i="11"/>
  <c r="O9" i="9"/>
  <c r="O8" i="9"/>
  <c r="N8" i="9"/>
  <c r="O9" i="7"/>
  <c r="O8" i="7"/>
  <c r="N8" i="7"/>
  <c r="O9" i="5"/>
  <c r="O8" i="5"/>
  <c r="N8" i="5"/>
  <c r="O9" i="3"/>
  <c r="N8" i="3"/>
  <c r="O8" i="3"/>
  <c r="G5" i="22"/>
  <c r="B14" i="23" s="1"/>
  <c r="G4" i="3"/>
  <c r="G5" i="3"/>
  <c r="G6" i="3"/>
  <c r="G7" i="3"/>
  <c r="G8" i="3"/>
  <c r="G9" i="3"/>
  <c r="G5" i="18"/>
  <c r="G11" i="12"/>
  <c r="G12" i="12"/>
  <c r="G5" i="12"/>
  <c r="G6" i="12"/>
  <c r="G14" i="7"/>
  <c r="G11" i="20"/>
  <c r="G10" i="20"/>
  <c r="G9" i="20"/>
  <c r="B46" i="21" s="1"/>
  <c r="G8" i="20"/>
  <c r="B38" i="21" s="1"/>
  <c r="G7" i="20"/>
  <c r="G6" i="20"/>
  <c r="B22" i="21" s="1"/>
  <c r="G5" i="20"/>
  <c r="B14" i="21" s="1"/>
  <c r="G4" i="20"/>
  <c r="B6" i="21" s="1"/>
  <c r="G16" i="22"/>
  <c r="G15" i="22"/>
  <c r="G14" i="22"/>
  <c r="G13" i="22"/>
  <c r="I22" i="23" s="1"/>
  <c r="G12" i="22"/>
  <c r="I14" i="23" s="1"/>
  <c r="G11" i="22"/>
  <c r="I6" i="23" s="1"/>
  <c r="G10" i="22"/>
  <c r="B54" i="23" s="1"/>
  <c r="G9" i="22"/>
  <c r="B46" i="23" s="1"/>
  <c r="G8" i="22"/>
  <c r="B38" i="23" s="1"/>
  <c r="G7" i="22"/>
  <c r="B30" i="23" s="1"/>
  <c r="G6" i="22"/>
  <c r="B22" i="23" s="1"/>
  <c r="G4" i="22"/>
  <c r="B6" i="23" s="1"/>
  <c r="I15" i="23"/>
  <c r="I23" i="23"/>
  <c r="M19" i="23"/>
  <c r="M17" i="23"/>
  <c r="J22" i="23"/>
  <c r="J21" i="23"/>
  <c r="J20" i="23"/>
  <c r="I21" i="23"/>
  <c r="I20" i="23"/>
  <c r="I19" i="23"/>
  <c r="I17" i="23"/>
  <c r="M11" i="23"/>
  <c r="M9" i="23"/>
  <c r="I13" i="23"/>
  <c r="I12" i="23"/>
  <c r="I11" i="23"/>
  <c r="I9" i="23"/>
  <c r="M3" i="23"/>
  <c r="J6" i="23"/>
  <c r="J5" i="23"/>
  <c r="J4" i="23"/>
  <c r="I7" i="23"/>
  <c r="I5" i="23"/>
  <c r="I4" i="23"/>
  <c r="I3" i="23"/>
  <c r="M1" i="23"/>
  <c r="I1" i="23"/>
  <c r="F51" i="23"/>
  <c r="F49" i="23"/>
  <c r="C54" i="23"/>
  <c r="C53" i="23"/>
  <c r="C52" i="23"/>
  <c r="B55" i="23"/>
  <c r="B53" i="23"/>
  <c r="B52" i="23"/>
  <c r="B51" i="23"/>
  <c r="B49" i="23"/>
  <c r="F43" i="23"/>
  <c r="F41" i="23"/>
  <c r="C46" i="23"/>
  <c r="C45" i="23"/>
  <c r="C44" i="23"/>
  <c r="B47" i="23"/>
  <c r="B45" i="23"/>
  <c r="B44" i="23"/>
  <c r="B43" i="23"/>
  <c r="B41" i="23"/>
  <c r="F35" i="23"/>
  <c r="F33" i="23"/>
  <c r="C38" i="23"/>
  <c r="C37" i="23"/>
  <c r="C36" i="23"/>
  <c r="B39" i="23"/>
  <c r="B37" i="23"/>
  <c r="B36" i="23"/>
  <c r="B35" i="23"/>
  <c r="B33" i="23"/>
  <c r="F27" i="23"/>
  <c r="F25" i="23"/>
  <c r="C30" i="23"/>
  <c r="C29" i="23"/>
  <c r="C28" i="23"/>
  <c r="B31" i="23"/>
  <c r="B29" i="23"/>
  <c r="B28" i="23"/>
  <c r="B27" i="23"/>
  <c r="B25" i="23"/>
  <c r="C22" i="23"/>
  <c r="C21" i="23"/>
  <c r="C20" i="23"/>
  <c r="F19" i="23"/>
  <c r="F17" i="23"/>
  <c r="B23" i="23"/>
  <c r="B21" i="23"/>
  <c r="B20" i="23"/>
  <c r="B19" i="23"/>
  <c r="B17" i="23"/>
  <c r="F11" i="23"/>
  <c r="F9" i="23"/>
  <c r="C14" i="23"/>
  <c r="C13" i="23"/>
  <c r="C12" i="23"/>
  <c r="B15" i="23"/>
  <c r="B13" i="23"/>
  <c r="B12" i="23"/>
  <c r="B11" i="23"/>
  <c r="B9" i="23"/>
  <c r="F3" i="23"/>
  <c r="F1" i="23"/>
  <c r="C6" i="23"/>
  <c r="C5" i="23"/>
  <c r="C4" i="23"/>
  <c r="B7" i="23"/>
  <c r="B5" i="23"/>
  <c r="B4" i="23"/>
  <c r="B3" i="23"/>
  <c r="B1" i="23"/>
  <c r="F51" i="21"/>
  <c r="F49" i="21"/>
  <c r="C54" i="21"/>
  <c r="C53" i="21"/>
  <c r="C52" i="21"/>
  <c r="B55" i="21"/>
  <c r="B54" i="21"/>
  <c r="B53" i="21"/>
  <c r="B52" i="21"/>
  <c r="B51" i="21"/>
  <c r="B49" i="21"/>
  <c r="F43" i="21"/>
  <c r="F41" i="21"/>
  <c r="C46" i="21"/>
  <c r="C45" i="21"/>
  <c r="C44" i="21"/>
  <c r="B47" i="21"/>
  <c r="B45" i="21"/>
  <c r="B44" i="21"/>
  <c r="B43" i="21"/>
  <c r="B41" i="21"/>
  <c r="F35" i="21"/>
  <c r="F33" i="21"/>
  <c r="C38" i="21"/>
  <c r="C37" i="21"/>
  <c r="C36" i="21"/>
  <c r="B39" i="21"/>
  <c r="B37" i="21"/>
  <c r="B36" i="21"/>
  <c r="B35" i="21"/>
  <c r="B33" i="21"/>
  <c r="F27" i="21"/>
  <c r="F25" i="21"/>
  <c r="C30" i="21"/>
  <c r="C29" i="21"/>
  <c r="C28" i="21"/>
  <c r="B31" i="21"/>
  <c r="B30" i="21"/>
  <c r="B29" i="21"/>
  <c r="B28" i="21"/>
  <c r="B27" i="21"/>
  <c r="B25" i="21"/>
  <c r="F19" i="21"/>
  <c r="F17" i="21"/>
  <c r="C22" i="21"/>
  <c r="C21" i="21"/>
  <c r="C20" i="21"/>
  <c r="B23" i="21"/>
  <c r="B21" i="21"/>
  <c r="B20" i="21"/>
  <c r="B19" i="21"/>
  <c r="B17" i="21"/>
  <c r="F11" i="21"/>
  <c r="F9" i="21"/>
  <c r="C14" i="21"/>
  <c r="C13" i="21"/>
  <c r="C12" i="21"/>
  <c r="B15" i="21"/>
  <c r="B13" i="21"/>
  <c r="B12" i="21"/>
  <c r="B11" i="21"/>
  <c r="B9" i="21"/>
  <c r="B7" i="21"/>
  <c r="C6" i="21"/>
  <c r="C5" i="21"/>
  <c r="C4" i="21"/>
  <c r="B5" i="21"/>
  <c r="B4" i="21"/>
  <c r="F3" i="21"/>
  <c r="B3" i="21"/>
  <c r="F1" i="21"/>
  <c r="B1" i="21"/>
  <c r="I63" i="19"/>
  <c r="M59" i="19"/>
  <c r="M57" i="19"/>
  <c r="J62" i="19"/>
  <c r="J61" i="19"/>
  <c r="J60" i="19"/>
  <c r="I61" i="19"/>
  <c r="I60" i="19"/>
  <c r="I59" i="19"/>
  <c r="I57" i="19"/>
  <c r="M51" i="19"/>
  <c r="M49" i="19"/>
  <c r="J54" i="19"/>
  <c r="J53" i="19"/>
  <c r="J52" i="19"/>
  <c r="I55" i="19"/>
  <c r="I53" i="19"/>
  <c r="I52" i="19"/>
  <c r="I51" i="19"/>
  <c r="I49" i="19"/>
  <c r="M43" i="19"/>
  <c r="M41" i="19"/>
  <c r="J46" i="19"/>
  <c r="J45" i="19"/>
  <c r="J44" i="19"/>
  <c r="I47" i="19"/>
  <c r="I45" i="19"/>
  <c r="I44" i="19"/>
  <c r="I43" i="19"/>
  <c r="I41" i="19"/>
  <c r="M35" i="19"/>
  <c r="M33" i="19"/>
  <c r="J38" i="19"/>
  <c r="J37" i="19"/>
  <c r="J36" i="19"/>
  <c r="I39" i="19"/>
  <c r="I37" i="19"/>
  <c r="I36" i="19"/>
  <c r="I35" i="19"/>
  <c r="I33" i="19"/>
  <c r="M27" i="19"/>
  <c r="M25" i="19"/>
  <c r="J30" i="19"/>
  <c r="J29" i="19"/>
  <c r="J28" i="19"/>
  <c r="I31" i="19"/>
  <c r="I29" i="19"/>
  <c r="I28" i="19"/>
  <c r="I27" i="19"/>
  <c r="I25" i="19"/>
  <c r="M19" i="19"/>
  <c r="M17" i="19"/>
  <c r="J22" i="19"/>
  <c r="J21" i="19"/>
  <c r="J20" i="19"/>
  <c r="I23" i="19"/>
  <c r="I21" i="19"/>
  <c r="I20" i="19"/>
  <c r="I19" i="19"/>
  <c r="I17" i="19"/>
  <c r="M11" i="19"/>
  <c r="M9" i="19"/>
  <c r="I15" i="19"/>
  <c r="J14" i="19"/>
  <c r="J13" i="19"/>
  <c r="J12" i="19"/>
  <c r="I13" i="19"/>
  <c r="I12" i="19"/>
  <c r="I11" i="19"/>
  <c r="I9" i="19"/>
  <c r="I7" i="19"/>
  <c r="J6" i="19"/>
  <c r="J5" i="19"/>
  <c r="J4" i="19"/>
  <c r="I5" i="19"/>
  <c r="I4" i="19"/>
  <c r="M3" i="19"/>
  <c r="I3" i="19"/>
  <c r="M1" i="19"/>
  <c r="I1" i="19"/>
  <c r="F51" i="19"/>
  <c r="F49" i="19"/>
  <c r="C54" i="19"/>
  <c r="C53" i="19"/>
  <c r="C52" i="19"/>
  <c r="B55" i="19"/>
  <c r="B53" i="19"/>
  <c r="B52" i="19"/>
  <c r="B51" i="19"/>
  <c r="B49" i="19"/>
  <c r="F43" i="19"/>
  <c r="F41" i="19"/>
  <c r="C46" i="19"/>
  <c r="C45" i="19"/>
  <c r="C44" i="19"/>
  <c r="B47" i="19"/>
  <c r="B45" i="19"/>
  <c r="B44" i="19"/>
  <c r="B43" i="19"/>
  <c r="B41" i="19"/>
  <c r="F35" i="19"/>
  <c r="F33" i="19"/>
  <c r="C38" i="19"/>
  <c r="C37" i="19"/>
  <c r="C36" i="19"/>
  <c r="B39" i="19"/>
  <c r="B37" i="19"/>
  <c r="B36" i="19"/>
  <c r="B35" i="19"/>
  <c r="B33" i="19"/>
  <c r="F27" i="19"/>
  <c r="F25" i="19"/>
  <c r="C30" i="19"/>
  <c r="C29" i="19"/>
  <c r="C28" i="19"/>
  <c r="B31" i="19"/>
  <c r="B29" i="19"/>
  <c r="B28" i="19"/>
  <c r="B27" i="19"/>
  <c r="B25" i="19"/>
  <c r="C22" i="19"/>
  <c r="C21" i="19"/>
  <c r="C20" i="19"/>
  <c r="F19" i="19"/>
  <c r="F17" i="19"/>
  <c r="B23" i="19"/>
  <c r="B21" i="19"/>
  <c r="B20" i="19"/>
  <c r="B19" i="19"/>
  <c r="B17" i="19"/>
  <c r="F11" i="19"/>
  <c r="F9" i="19"/>
  <c r="B15" i="19"/>
  <c r="C14" i="19"/>
  <c r="C13" i="19"/>
  <c r="C12" i="19"/>
  <c r="B14" i="19"/>
  <c r="B13" i="19"/>
  <c r="B12" i="19"/>
  <c r="B11" i="19"/>
  <c r="B9" i="19"/>
  <c r="B7" i="19"/>
  <c r="C6" i="19"/>
  <c r="C5" i="19"/>
  <c r="C4" i="19"/>
  <c r="B5" i="19"/>
  <c r="B4" i="19"/>
  <c r="F3" i="19"/>
  <c r="B3" i="19"/>
  <c r="F1" i="19"/>
  <c r="B1" i="19"/>
  <c r="M19" i="17" l="1"/>
  <c r="M17" i="17"/>
  <c r="J22" i="17"/>
  <c r="J21" i="17"/>
  <c r="J20" i="17"/>
  <c r="I23" i="17"/>
  <c r="I21" i="17"/>
  <c r="I20" i="17"/>
  <c r="I19" i="17"/>
  <c r="I17" i="17"/>
  <c r="M11" i="17"/>
  <c r="M9" i="17"/>
  <c r="J14" i="17"/>
  <c r="J13" i="17"/>
  <c r="J12" i="17"/>
  <c r="I15" i="17"/>
  <c r="I13" i="17"/>
  <c r="I12" i="17"/>
  <c r="I11" i="17"/>
  <c r="I9" i="17"/>
  <c r="I7" i="17"/>
  <c r="J6" i="17"/>
  <c r="J5" i="17"/>
  <c r="J4" i="17"/>
  <c r="I5" i="17"/>
  <c r="I4" i="17"/>
  <c r="M3" i="17"/>
  <c r="I3" i="17"/>
  <c r="M1" i="17"/>
  <c r="I1" i="17"/>
  <c r="F51" i="17"/>
  <c r="F49" i="17"/>
  <c r="C54" i="17"/>
  <c r="C53" i="17"/>
  <c r="C52" i="17"/>
  <c r="B55" i="17"/>
  <c r="B53" i="17"/>
  <c r="B52" i="17"/>
  <c r="B51" i="17"/>
  <c r="B49" i="17"/>
  <c r="F43" i="17"/>
  <c r="F41" i="17"/>
  <c r="C46" i="17"/>
  <c r="C45" i="17"/>
  <c r="C44" i="17"/>
  <c r="B47" i="17"/>
  <c r="B45" i="17"/>
  <c r="B44" i="17"/>
  <c r="B43" i="17"/>
  <c r="B41" i="17"/>
  <c r="F35" i="17"/>
  <c r="F33" i="17"/>
  <c r="C38" i="17"/>
  <c r="C37" i="17"/>
  <c r="C36" i="17"/>
  <c r="B39" i="17"/>
  <c r="B37" i="17"/>
  <c r="B36" i="17"/>
  <c r="B35" i="17"/>
  <c r="B33" i="17"/>
  <c r="F27" i="17"/>
  <c r="F25" i="17"/>
  <c r="C30" i="17"/>
  <c r="C29" i="17"/>
  <c r="C28" i="17"/>
  <c r="B31" i="17"/>
  <c r="B29" i="17"/>
  <c r="B28" i="17"/>
  <c r="B27" i="17"/>
  <c r="B25" i="17"/>
  <c r="F19" i="17"/>
  <c r="F17" i="17"/>
  <c r="C22" i="17"/>
  <c r="C21" i="17"/>
  <c r="C20" i="17"/>
  <c r="B23" i="17"/>
  <c r="B21" i="17"/>
  <c r="B20" i="17"/>
  <c r="B19" i="17"/>
  <c r="B17" i="17"/>
  <c r="C14" i="17"/>
  <c r="C13" i="17"/>
  <c r="C12" i="17"/>
  <c r="B15" i="17"/>
  <c r="B13" i="17"/>
  <c r="B12" i="17"/>
  <c r="B11" i="17"/>
  <c r="F11" i="17"/>
  <c r="F9" i="17"/>
  <c r="B9" i="17"/>
  <c r="C6" i="17"/>
  <c r="C5" i="17"/>
  <c r="C4" i="17"/>
  <c r="B7" i="17"/>
  <c r="B5" i="17"/>
  <c r="B4" i="17"/>
  <c r="F3" i="17"/>
  <c r="B3" i="17"/>
  <c r="F1" i="17"/>
  <c r="B1" i="17"/>
  <c r="I22" i="17"/>
  <c r="I14" i="17"/>
  <c r="M51" i="15"/>
  <c r="M49" i="15"/>
  <c r="J54" i="15"/>
  <c r="J53" i="15"/>
  <c r="J52" i="15"/>
  <c r="I55" i="15"/>
  <c r="I53" i="15"/>
  <c r="I52" i="15"/>
  <c r="I51" i="15"/>
  <c r="I49" i="15"/>
  <c r="M43" i="15"/>
  <c r="M41" i="15"/>
  <c r="J46" i="15"/>
  <c r="J45" i="15"/>
  <c r="J44" i="15"/>
  <c r="I47" i="15"/>
  <c r="I45" i="15"/>
  <c r="I44" i="15"/>
  <c r="I43" i="15"/>
  <c r="I41" i="15"/>
  <c r="M35" i="15"/>
  <c r="M33" i="15"/>
  <c r="J38" i="15"/>
  <c r="J37" i="15"/>
  <c r="J36" i="15"/>
  <c r="I39" i="15"/>
  <c r="I37" i="15"/>
  <c r="I36" i="15"/>
  <c r="I35" i="15"/>
  <c r="I33" i="15"/>
  <c r="M27" i="15"/>
  <c r="M25" i="15"/>
  <c r="J30" i="15"/>
  <c r="J29" i="15"/>
  <c r="J28" i="15"/>
  <c r="I31" i="15"/>
  <c r="I29" i="15"/>
  <c r="I28" i="15"/>
  <c r="I27" i="15"/>
  <c r="I25" i="15"/>
  <c r="M19" i="15"/>
  <c r="M17" i="15"/>
  <c r="J22" i="15"/>
  <c r="J21" i="15"/>
  <c r="J20" i="15"/>
  <c r="I23" i="15"/>
  <c r="I21" i="15"/>
  <c r="I20" i="15"/>
  <c r="I19" i="15"/>
  <c r="I17" i="15"/>
  <c r="M11" i="15"/>
  <c r="M9" i="15"/>
  <c r="J14" i="15"/>
  <c r="J13" i="15"/>
  <c r="J12" i="15"/>
  <c r="I15" i="15"/>
  <c r="I13" i="15"/>
  <c r="I12" i="15"/>
  <c r="I11" i="15"/>
  <c r="I9" i="15"/>
  <c r="C54" i="15"/>
  <c r="C53" i="15"/>
  <c r="C52" i="15"/>
  <c r="M3" i="15"/>
  <c r="J6" i="15"/>
  <c r="J5" i="15"/>
  <c r="J4" i="15"/>
  <c r="I7" i="15"/>
  <c r="I5" i="15"/>
  <c r="I4" i="15"/>
  <c r="I3" i="15"/>
  <c r="M1" i="15"/>
  <c r="I1" i="15"/>
  <c r="F51" i="15"/>
  <c r="F49" i="15"/>
  <c r="B55" i="15"/>
  <c r="B53" i="15"/>
  <c r="B52" i="15"/>
  <c r="B51" i="15"/>
  <c r="B49" i="15"/>
  <c r="F43" i="15"/>
  <c r="F41" i="15"/>
  <c r="C46" i="15"/>
  <c r="C45" i="15"/>
  <c r="C44" i="15"/>
  <c r="B47" i="15"/>
  <c r="B45" i="15"/>
  <c r="B44" i="15"/>
  <c r="B43" i="15"/>
  <c r="B41" i="15"/>
  <c r="F35" i="15"/>
  <c r="F33" i="15"/>
  <c r="C38" i="15"/>
  <c r="C37" i="15"/>
  <c r="C36" i="15"/>
  <c r="B39" i="15"/>
  <c r="B37" i="15"/>
  <c r="B36" i="15"/>
  <c r="B35" i="15"/>
  <c r="B33" i="15"/>
  <c r="F27" i="15"/>
  <c r="F25" i="15"/>
  <c r="C30" i="15"/>
  <c r="C29" i="15"/>
  <c r="C28" i="15"/>
  <c r="B31" i="15"/>
  <c r="B29" i="15"/>
  <c r="B28" i="15"/>
  <c r="B27" i="15"/>
  <c r="B25" i="15"/>
  <c r="F19" i="15"/>
  <c r="F17" i="15"/>
  <c r="C22" i="15"/>
  <c r="C21" i="15"/>
  <c r="C20" i="15"/>
  <c r="B23" i="15"/>
  <c r="B21" i="15"/>
  <c r="B20" i="15"/>
  <c r="B19" i="15"/>
  <c r="B17" i="15"/>
  <c r="F11" i="15"/>
  <c r="F9" i="15"/>
  <c r="C14" i="15"/>
  <c r="C13" i="15"/>
  <c r="C12" i="15"/>
  <c r="B15" i="15"/>
  <c r="B13" i="15"/>
  <c r="B12" i="15"/>
  <c r="B11" i="15"/>
  <c r="B9" i="15"/>
  <c r="B7" i="15"/>
  <c r="C6" i="15"/>
  <c r="C5" i="15"/>
  <c r="C4" i="15"/>
  <c r="B5" i="15"/>
  <c r="B4" i="15"/>
  <c r="F3" i="15"/>
  <c r="B3" i="15"/>
  <c r="F1" i="15"/>
  <c r="B1" i="15"/>
  <c r="B39" i="13" l="1"/>
  <c r="I15" i="13"/>
  <c r="M11" i="13"/>
  <c r="M9" i="13"/>
  <c r="J14" i="13"/>
  <c r="J13" i="13"/>
  <c r="J12" i="13"/>
  <c r="I13" i="13"/>
  <c r="I12" i="13"/>
  <c r="I11" i="13"/>
  <c r="I9" i="13"/>
  <c r="I7" i="13"/>
  <c r="J6" i="13"/>
  <c r="J5" i="13"/>
  <c r="J4" i="13"/>
  <c r="I5" i="13"/>
  <c r="I4" i="13"/>
  <c r="M3" i="13"/>
  <c r="I3" i="13"/>
  <c r="M1" i="13"/>
  <c r="I1" i="13"/>
  <c r="F35" i="13"/>
  <c r="F33" i="13"/>
  <c r="C38" i="13"/>
  <c r="C37" i="13"/>
  <c r="C36" i="13"/>
  <c r="B37" i="13"/>
  <c r="B36" i="13"/>
  <c r="B35" i="13"/>
  <c r="B33" i="13"/>
  <c r="F27" i="13"/>
  <c r="F25" i="13"/>
  <c r="C30" i="13"/>
  <c r="C29" i="13"/>
  <c r="C28" i="13"/>
  <c r="B31" i="13"/>
  <c r="B29" i="13"/>
  <c r="B28" i="13"/>
  <c r="B27" i="13"/>
  <c r="B25" i="13"/>
  <c r="F19" i="13"/>
  <c r="F17" i="13"/>
  <c r="C22" i="13"/>
  <c r="C21" i="13"/>
  <c r="C20" i="13"/>
  <c r="B22" i="13"/>
  <c r="B21" i="13"/>
  <c r="B20" i="13"/>
  <c r="B19" i="13"/>
  <c r="B17" i="13"/>
  <c r="F11" i="13"/>
  <c r="F9" i="13"/>
  <c r="B15" i="13"/>
  <c r="C14" i="13"/>
  <c r="C13" i="13"/>
  <c r="C12" i="13"/>
  <c r="B13" i="13"/>
  <c r="B12" i="13"/>
  <c r="B11" i="13"/>
  <c r="B9" i="13"/>
  <c r="B23" i="13"/>
  <c r="M43" i="31"/>
  <c r="M41" i="31"/>
  <c r="J46" i="31"/>
  <c r="J45" i="31"/>
  <c r="J44" i="31"/>
  <c r="I47" i="31"/>
  <c r="I45" i="31"/>
  <c r="I44" i="31"/>
  <c r="I43" i="31"/>
  <c r="I41" i="31"/>
  <c r="I35" i="31"/>
  <c r="C6" i="31"/>
  <c r="G13" i="11"/>
  <c r="I46" i="31"/>
  <c r="M35" i="31"/>
  <c r="M33" i="31"/>
  <c r="J38" i="31"/>
  <c r="J37" i="31"/>
  <c r="J36" i="31"/>
  <c r="I39" i="31"/>
  <c r="I37" i="31"/>
  <c r="I36" i="31"/>
  <c r="I33" i="31"/>
  <c r="M27" i="31"/>
  <c r="M25" i="31"/>
  <c r="J30" i="31"/>
  <c r="J29" i="31"/>
  <c r="J28" i="31"/>
  <c r="I31" i="31"/>
  <c r="I29" i="31"/>
  <c r="I28" i="31"/>
  <c r="I27" i="31"/>
  <c r="I25" i="31"/>
  <c r="M19" i="31"/>
  <c r="M17" i="31"/>
  <c r="J22" i="31"/>
  <c r="J21" i="31"/>
  <c r="J20" i="31"/>
  <c r="I23" i="31"/>
  <c r="I21" i="31"/>
  <c r="I20" i="31"/>
  <c r="I19" i="31"/>
  <c r="I17" i="31"/>
  <c r="M11" i="31"/>
  <c r="M9" i="31"/>
  <c r="J14" i="31"/>
  <c r="J13" i="31"/>
  <c r="J12" i="31"/>
  <c r="I15" i="31"/>
  <c r="I13" i="31"/>
  <c r="I12" i="31"/>
  <c r="I11" i="31"/>
  <c r="I9" i="31"/>
  <c r="I7" i="31"/>
  <c r="J6" i="31"/>
  <c r="J5" i="31"/>
  <c r="J4" i="31"/>
  <c r="I5" i="31"/>
  <c r="I4" i="31"/>
  <c r="M3" i="31"/>
  <c r="I3" i="31"/>
  <c r="M1" i="31"/>
  <c r="I1" i="31"/>
  <c r="F35" i="31"/>
  <c r="F33" i="31"/>
  <c r="C38" i="31"/>
  <c r="C37" i="31"/>
  <c r="C36" i="31"/>
  <c r="B39" i="31"/>
  <c r="B37" i="31"/>
  <c r="B36" i="31"/>
  <c r="B35" i="31"/>
  <c r="B33" i="31"/>
  <c r="F27" i="31"/>
  <c r="F25" i="31"/>
  <c r="C30" i="31"/>
  <c r="C29" i="31"/>
  <c r="C28" i="31"/>
  <c r="B31" i="31"/>
  <c r="B29" i="31"/>
  <c r="B28" i="31"/>
  <c r="B27" i="31"/>
  <c r="B25" i="31"/>
  <c r="F19" i="31"/>
  <c r="F17" i="31"/>
  <c r="C22" i="31"/>
  <c r="C21" i="31"/>
  <c r="C20" i="31"/>
  <c r="B23" i="31"/>
  <c r="B21" i="31"/>
  <c r="B20" i="31"/>
  <c r="B19" i="31"/>
  <c r="B17" i="31"/>
  <c r="F11" i="31"/>
  <c r="F9" i="31"/>
  <c r="C14" i="31"/>
  <c r="C13" i="31"/>
  <c r="C12" i="31"/>
  <c r="B15" i="31"/>
  <c r="B13" i="31"/>
  <c r="B12" i="31"/>
  <c r="B11" i="31"/>
  <c r="B9" i="31"/>
  <c r="B7" i="31"/>
  <c r="C5" i="31"/>
  <c r="C4" i="31"/>
  <c r="B5" i="31"/>
  <c r="B4" i="31"/>
  <c r="F3" i="31"/>
  <c r="B3" i="31"/>
  <c r="F1" i="31"/>
  <c r="B1" i="31"/>
  <c r="M49" i="10" l="1"/>
  <c r="M51" i="10"/>
  <c r="J54" i="10"/>
  <c r="J53" i="10"/>
  <c r="J52" i="10"/>
  <c r="I55" i="10"/>
  <c r="I53" i="10"/>
  <c r="I52" i="10"/>
  <c r="I51" i="10"/>
  <c r="I49" i="10"/>
  <c r="M43" i="10"/>
  <c r="M41" i="10"/>
  <c r="J46" i="10"/>
  <c r="J45" i="10"/>
  <c r="J44" i="10"/>
  <c r="I47" i="10"/>
  <c r="I45" i="10"/>
  <c r="I44" i="10"/>
  <c r="I43" i="10"/>
  <c r="I41" i="10"/>
  <c r="M35" i="10"/>
  <c r="M33" i="10"/>
  <c r="J38" i="10"/>
  <c r="J37" i="10"/>
  <c r="J36" i="10"/>
  <c r="I39" i="10"/>
  <c r="I37" i="10"/>
  <c r="I36" i="10"/>
  <c r="I35" i="10"/>
  <c r="I33" i="10"/>
  <c r="M27" i="10"/>
  <c r="M25" i="10"/>
  <c r="J30" i="10"/>
  <c r="J29" i="10"/>
  <c r="J28" i="10"/>
  <c r="I31" i="10"/>
  <c r="I29" i="10"/>
  <c r="I28" i="10"/>
  <c r="I27" i="10"/>
  <c r="I25" i="10"/>
  <c r="M19" i="10"/>
  <c r="M17" i="10"/>
  <c r="J22" i="10"/>
  <c r="J21" i="10"/>
  <c r="J20" i="10"/>
  <c r="I23" i="10"/>
  <c r="I21" i="10"/>
  <c r="I20" i="10"/>
  <c r="I19" i="10"/>
  <c r="I17" i="10"/>
  <c r="M11" i="10"/>
  <c r="M9" i="10"/>
  <c r="J14" i="10"/>
  <c r="J13" i="10"/>
  <c r="J12" i="10"/>
  <c r="I15" i="10"/>
  <c r="I13" i="10"/>
  <c r="I12" i="10"/>
  <c r="I11" i="10"/>
  <c r="I9" i="10"/>
  <c r="I7" i="10"/>
  <c r="J6" i="10"/>
  <c r="J5" i="10"/>
  <c r="J4" i="10"/>
  <c r="I5" i="10"/>
  <c r="I4" i="10"/>
  <c r="M3" i="10"/>
  <c r="I3" i="10"/>
  <c r="M1" i="10"/>
  <c r="I1" i="10"/>
  <c r="F35" i="10"/>
  <c r="F33" i="10"/>
  <c r="B39" i="10"/>
  <c r="B37" i="10"/>
  <c r="B36" i="10"/>
  <c r="B35" i="10"/>
  <c r="B33" i="10"/>
  <c r="F27" i="10"/>
  <c r="F25" i="10"/>
  <c r="B31" i="10"/>
  <c r="B30" i="10"/>
  <c r="B29" i="10"/>
  <c r="B28" i="10"/>
  <c r="B27" i="10"/>
  <c r="B25" i="10"/>
  <c r="F19" i="10"/>
  <c r="F17" i="10"/>
  <c r="C22" i="10"/>
  <c r="C21" i="10"/>
  <c r="C20" i="10"/>
  <c r="B23" i="10"/>
  <c r="B21" i="10"/>
  <c r="B20" i="10"/>
  <c r="B19" i="10"/>
  <c r="B17" i="10"/>
  <c r="C38" i="10"/>
  <c r="C37" i="10"/>
  <c r="C36" i="10"/>
  <c r="C30" i="10"/>
  <c r="C29" i="10"/>
  <c r="C28" i="10"/>
  <c r="F11" i="10"/>
  <c r="F9" i="10"/>
  <c r="C14" i="10"/>
  <c r="C13" i="10"/>
  <c r="C12" i="10"/>
  <c r="B15" i="10"/>
  <c r="B13" i="10"/>
  <c r="B12" i="10"/>
  <c r="B11" i="10"/>
  <c r="B9" i="10"/>
  <c r="F3" i="10"/>
  <c r="F1" i="10"/>
  <c r="C6" i="10"/>
  <c r="C5" i="10"/>
  <c r="C4" i="10"/>
  <c r="B7" i="10"/>
  <c r="B5" i="10"/>
  <c r="B4" i="10"/>
  <c r="B3" i="10"/>
  <c r="B1" i="10"/>
  <c r="G6" i="9"/>
  <c r="B22" i="10" s="1"/>
  <c r="G7" i="9"/>
  <c r="G8" i="9"/>
  <c r="B38" i="10" s="1"/>
  <c r="G9" i="9"/>
  <c r="I6" i="10" s="1"/>
  <c r="G10" i="9"/>
  <c r="I14" i="10" s="1"/>
  <c r="G11" i="9"/>
  <c r="I22" i="10" s="1"/>
  <c r="G12" i="9"/>
  <c r="I30" i="10" s="1"/>
  <c r="G13" i="9"/>
  <c r="I38" i="10" s="1"/>
  <c r="G14" i="9"/>
  <c r="I46" i="10" s="1"/>
  <c r="G15" i="9"/>
  <c r="I54" i="10" s="1"/>
  <c r="M35" i="8" l="1"/>
  <c r="M33" i="8"/>
  <c r="J38" i="8"/>
  <c r="J37" i="8"/>
  <c r="J36" i="8"/>
  <c r="I39" i="8"/>
  <c r="I37" i="8"/>
  <c r="I36" i="8"/>
  <c r="I35" i="8"/>
  <c r="I33" i="8"/>
  <c r="M27" i="8"/>
  <c r="M25" i="8"/>
  <c r="J30" i="8"/>
  <c r="J29" i="8"/>
  <c r="J28" i="8"/>
  <c r="I31" i="8"/>
  <c r="I29" i="8"/>
  <c r="I28" i="8"/>
  <c r="I27" i="8"/>
  <c r="I25" i="8"/>
  <c r="M19" i="8"/>
  <c r="M17" i="8"/>
  <c r="J22" i="8"/>
  <c r="J21" i="8"/>
  <c r="J20" i="8"/>
  <c r="I23" i="8"/>
  <c r="I21" i="8"/>
  <c r="I20" i="8"/>
  <c r="I19" i="8"/>
  <c r="I17" i="8"/>
  <c r="M11" i="8"/>
  <c r="M9" i="8"/>
  <c r="J14" i="8"/>
  <c r="J13" i="8"/>
  <c r="J12" i="8"/>
  <c r="I15" i="8"/>
  <c r="I13" i="8"/>
  <c r="I12" i="8"/>
  <c r="I11" i="8"/>
  <c r="I9" i="8"/>
  <c r="I7" i="8"/>
  <c r="J6" i="8"/>
  <c r="J5" i="8"/>
  <c r="J4" i="8"/>
  <c r="I5" i="8"/>
  <c r="I4" i="8"/>
  <c r="M3" i="8"/>
  <c r="I3" i="8"/>
  <c r="M1" i="8"/>
  <c r="I1" i="8"/>
  <c r="F35" i="8"/>
  <c r="F33" i="8"/>
  <c r="C38" i="8"/>
  <c r="C37" i="8"/>
  <c r="C36" i="8"/>
  <c r="B39" i="8"/>
  <c r="B37" i="8"/>
  <c r="B36" i="8"/>
  <c r="B35" i="8"/>
  <c r="B33" i="8"/>
  <c r="F27" i="8"/>
  <c r="F25" i="8"/>
  <c r="C30" i="8"/>
  <c r="C29" i="8"/>
  <c r="C28" i="8"/>
  <c r="B31" i="8"/>
  <c r="B29" i="8"/>
  <c r="B28" i="8"/>
  <c r="B27" i="8"/>
  <c r="B25" i="8"/>
  <c r="F19" i="8"/>
  <c r="F17" i="8"/>
  <c r="C22" i="8"/>
  <c r="C21" i="8"/>
  <c r="C20" i="8"/>
  <c r="B23" i="8"/>
  <c r="B21" i="8"/>
  <c r="B20" i="8"/>
  <c r="B19" i="8"/>
  <c r="B17" i="8"/>
  <c r="F11" i="8"/>
  <c r="F9" i="8"/>
  <c r="C14" i="8"/>
  <c r="C13" i="8"/>
  <c r="C12" i="8"/>
  <c r="B15" i="8"/>
  <c r="B13" i="8"/>
  <c r="B12" i="8"/>
  <c r="B11" i="8"/>
  <c r="B9" i="8"/>
  <c r="B7" i="8"/>
  <c r="C6" i="8"/>
  <c r="C5" i="8"/>
  <c r="C4" i="8"/>
  <c r="B5" i="8"/>
  <c r="B4" i="8"/>
  <c r="F3" i="8"/>
  <c r="B3" i="8"/>
  <c r="F1" i="8"/>
  <c r="B1" i="8"/>
  <c r="G5" i="9"/>
  <c r="B14" i="10" s="1"/>
  <c r="G10" i="7"/>
  <c r="I14" i="8" s="1"/>
  <c r="G11" i="7"/>
  <c r="I22" i="8" s="1"/>
  <c r="G12" i="7"/>
  <c r="I30" i="8" s="1"/>
  <c r="G13" i="7"/>
  <c r="I38" i="8" s="1"/>
  <c r="G9" i="7"/>
  <c r="I6" i="8" s="1"/>
  <c r="G8" i="7"/>
  <c r="B38" i="8" s="1"/>
  <c r="G7" i="7"/>
  <c r="B30" i="8" s="1"/>
  <c r="M35" i="6"/>
  <c r="M33" i="6"/>
  <c r="J38" i="6"/>
  <c r="J37" i="6"/>
  <c r="J36" i="6"/>
  <c r="I39" i="6"/>
  <c r="I37" i="6"/>
  <c r="I36" i="6"/>
  <c r="I35" i="6"/>
  <c r="I33" i="6"/>
  <c r="M27" i="6"/>
  <c r="M25" i="6"/>
  <c r="J30" i="6"/>
  <c r="J29" i="6"/>
  <c r="J28" i="6"/>
  <c r="I31" i="6"/>
  <c r="I29" i="6"/>
  <c r="I28" i="6"/>
  <c r="I27" i="6"/>
  <c r="I25" i="6"/>
  <c r="M19" i="6"/>
  <c r="M17" i="6"/>
  <c r="J22" i="6"/>
  <c r="J21" i="6"/>
  <c r="J20" i="6"/>
  <c r="I23" i="6"/>
  <c r="I21" i="6"/>
  <c r="I20" i="6"/>
  <c r="I19" i="6"/>
  <c r="I17" i="6"/>
  <c r="M11" i="6"/>
  <c r="M9" i="6"/>
  <c r="J14" i="6"/>
  <c r="J13" i="6"/>
  <c r="J12" i="6"/>
  <c r="I15" i="6"/>
  <c r="I13" i="6"/>
  <c r="I12" i="6"/>
  <c r="I11" i="6"/>
  <c r="I9" i="6"/>
  <c r="I7" i="6"/>
  <c r="J6" i="6"/>
  <c r="J5" i="6"/>
  <c r="J4" i="6"/>
  <c r="I5" i="6"/>
  <c r="I4" i="6"/>
  <c r="M3" i="6"/>
  <c r="I3" i="6"/>
  <c r="M1" i="6"/>
  <c r="I1" i="6"/>
  <c r="G11" i="5"/>
  <c r="I22" i="6" s="1"/>
  <c r="I30" i="6"/>
  <c r="I38" i="6"/>
  <c r="G7" i="5"/>
  <c r="G8" i="5"/>
  <c r="G9" i="5"/>
  <c r="I6" i="6" s="1"/>
  <c r="G10" i="5"/>
  <c r="I14" i="6" s="1"/>
  <c r="G6" i="5"/>
  <c r="F1" i="6"/>
  <c r="B7" i="4"/>
  <c r="M11" i="4"/>
  <c r="M9" i="4"/>
  <c r="J14" i="4"/>
  <c r="J13" i="4"/>
  <c r="J12" i="4"/>
  <c r="I15" i="4"/>
  <c r="I13" i="4"/>
  <c r="I12" i="4"/>
  <c r="I11" i="4"/>
  <c r="I9" i="4"/>
  <c r="I7" i="4"/>
  <c r="J6" i="4"/>
  <c r="J5" i="4"/>
  <c r="J4" i="4"/>
  <c r="I5" i="4"/>
  <c r="I4" i="4"/>
  <c r="M3" i="4"/>
  <c r="I3" i="4"/>
  <c r="M1" i="4"/>
  <c r="I1" i="4"/>
  <c r="C62" i="4"/>
  <c r="C61" i="4"/>
  <c r="C60" i="4"/>
  <c r="F59" i="4"/>
  <c r="F57" i="4"/>
  <c r="B63" i="4"/>
  <c r="B61" i="4"/>
  <c r="B60" i="4"/>
  <c r="B59" i="4"/>
  <c r="B57" i="4"/>
  <c r="F51" i="4"/>
  <c r="F49" i="4"/>
  <c r="C54" i="4"/>
  <c r="C53" i="4"/>
  <c r="C52" i="4"/>
  <c r="B55" i="4"/>
  <c r="B53" i="4"/>
  <c r="B52" i="4"/>
  <c r="B51" i="4"/>
  <c r="B49" i="4"/>
  <c r="F43" i="4"/>
  <c r="F41" i="4"/>
  <c r="C46" i="4"/>
  <c r="C45" i="4"/>
  <c r="C44" i="4"/>
  <c r="B47" i="4"/>
  <c r="B45" i="4"/>
  <c r="B44" i="4"/>
  <c r="B43" i="4"/>
  <c r="B41" i="4"/>
  <c r="F35" i="4"/>
  <c r="F33" i="4"/>
  <c r="B39" i="4"/>
  <c r="B37" i="4"/>
  <c r="B36" i="4"/>
  <c r="B35" i="4"/>
  <c r="B33" i="4"/>
  <c r="B31" i="4"/>
  <c r="B29" i="4"/>
  <c r="B28" i="4"/>
  <c r="B27" i="4"/>
  <c r="B25" i="4"/>
  <c r="F19" i="4"/>
  <c r="F17" i="4"/>
  <c r="C22" i="4"/>
  <c r="C21" i="4"/>
  <c r="C20" i="4"/>
  <c r="B23" i="4"/>
  <c r="B21" i="4"/>
  <c r="B20" i="4"/>
  <c r="B19" i="4"/>
  <c r="B17" i="4"/>
  <c r="F11" i="4"/>
  <c r="F9" i="4"/>
  <c r="C14" i="4"/>
  <c r="C13" i="4"/>
  <c r="C12" i="4"/>
  <c r="B15" i="4"/>
  <c r="B13" i="4"/>
  <c r="B12" i="4"/>
  <c r="B11" i="4"/>
  <c r="B9" i="4"/>
  <c r="F3" i="4"/>
  <c r="F1" i="4"/>
  <c r="C6" i="4"/>
  <c r="C5" i="4"/>
  <c r="C4" i="4"/>
  <c r="B5" i="4"/>
  <c r="B4" i="4"/>
  <c r="B3" i="4"/>
  <c r="B1" i="4"/>
  <c r="C38" i="2" l="1"/>
  <c r="C37" i="2"/>
  <c r="C36" i="2"/>
  <c r="B3" i="2"/>
  <c r="C38" i="4"/>
  <c r="C37" i="4"/>
  <c r="C36" i="4"/>
  <c r="F27" i="4"/>
  <c r="F25" i="4"/>
  <c r="C30" i="4"/>
  <c r="C29" i="4"/>
  <c r="C28" i="4"/>
  <c r="B6" i="4"/>
  <c r="G4" i="1"/>
  <c r="G11" i="1"/>
  <c r="G10" i="1"/>
  <c r="G8" i="1"/>
  <c r="G7" i="1"/>
  <c r="G9" i="1"/>
  <c r="B30" i="4"/>
  <c r="I6" i="4"/>
  <c r="B54" i="4"/>
  <c r="B62" i="4"/>
  <c r="I14" i="4"/>
  <c r="B46" i="4"/>
  <c r="B38" i="4"/>
  <c r="B22" i="4"/>
  <c r="B14" i="4"/>
  <c r="I39" i="23" l="1"/>
  <c r="J38" i="23"/>
  <c r="I38" i="23"/>
  <c r="J37" i="23"/>
  <c r="I37" i="23"/>
  <c r="J36" i="23"/>
  <c r="I36" i="23"/>
  <c r="M35" i="23"/>
  <c r="I35" i="23"/>
  <c r="M33" i="23"/>
  <c r="I33" i="23"/>
  <c r="I31" i="23"/>
  <c r="J30" i="23"/>
  <c r="I30" i="23"/>
  <c r="J29" i="23"/>
  <c r="I29" i="23"/>
  <c r="J28" i="23"/>
  <c r="I28" i="23"/>
  <c r="M27" i="23"/>
  <c r="I27" i="23"/>
  <c r="M25" i="23"/>
  <c r="I25" i="23"/>
  <c r="J14" i="23"/>
  <c r="J13" i="23"/>
  <c r="J12" i="23"/>
  <c r="I23" i="21"/>
  <c r="J22" i="21"/>
  <c r="I22" i="21"/>
  <c r="J21" i="21"/>
  <c r="I21" i="21"/>
  <c r="J20" i="21"/>
  <c r="I20" i="21"/>
  <c r="M19" i="21"/>
  <c r="I19" i="21"/>
  <c r="M17" i="21"/>
  <c r="I17" i="21"/>
  <c r="I15" i="21"/>
  <c r="J14" i="21"/>
  <c r="I14" i="21"/>
  <c r="J13" i="21"/>
  <c r="I13" i="21"/>
  <c r="J12" i="21"/>
  <c r="I12" i="21"/>
  <c r="M11" i="21"/>
  <c r="I11" i="21"/>
  <c r="M9" i="21"/>
  <c r="I9" i="21"/>
  <c r="I7" i="21"/>
  <c r="J6" i="21"/>
  <c r="I6" i="21"/>
  <c r="J5" i="21"/>
  <c r="I5" i="21"/>
  <c r="J4" i="21"/>
  <c r="I4" i="21"/>
  <c r="M3" i="21"/>
  <c r="I3" i="21"/>
  <c r="M1" i="21"/>
  <c r="I1" i="21"/>
  <c r="I62" i="19"/>
  <c r="I54" i="19"/>
  <c r="I46" i="19"/>
  <c r="G15" i="18"/>
  <c r="I38" i="19" s="1"/>
  <c r="G14" i="18"/>
  <c r="I30" i="19" s="1"/>
  <c r="G13" i="18"/>
  <c r="I22" i="19" s="1"/>
  <c r="G12" i="18"/>
  <c r="I14" i="19" s="1"/>
  <c r="G11" i="18"/>
  <c r="I6" i="19" s="1"/>
  <c r="G10" i="18"/>
  <c r="B54" i="19" s="1"/>
  <c r="G9" i="18"/>
  <c r="B46" i="19" s="1"/>
  <c r="G8" i="18"/>
  <c r="B38" i="19" s="1"/>
  <c r="G7" i="18"/>
  <c r="B30" i="19" s="1"/>
  <c r="G6" i="18"/>
  <c r="B22" i="19" s="1"/>
  <c r="G4" i="18"/>
  <c r="B6" i="19" s="1"/>
  <c r="I31" i="17"/>
  <c r="J30" i="17"/>
  <c r="I30" i="17"/>
  <c r="J29" i="17"/>
  <c r="I29" i="17"/>
  <c r="J28" i="17"/>
  <c r="I28" i="17"/>
  <c r="M27" i="17"/>
  <c r="I27" i="17"/>
  <c r="M25" i="17"/>
  <c r="I25" i="17"/>
  <c r="G11" i="16"/>
  <c r="I6" i="17" s="1"/>
  <c r="G10" i="16"/>
  <c r="B54" i="17" s="1"/>
  <c r="G9" i="16"/>
  <c r="B46" i="17" s="1"/>
  <c r="G8" i="16"/>
  <c r="B38" i="17" s="1"/>
  <c r="G7" i="16"/>
  <c r="B30" i="17" s="1"/>
  <c r="G6" i="16"/>
  <c r="B22" i="17" s="1"/>
  <c r="G5" i="16"/>
  <c r="B14" i="17" s="1"/>
  <c r="G4" i="16"/>
  <c r="B6" i="17" s="1"/>
  <c r="I54" i="15"/>
  <c r="I46" i="15"/>
  <c r="I38" i="15"/>
  <c r="I30" i="15"/>
  <c r="G13" i="14"/>
  <c r="I22" i="15" s="1"/>
  <c r="G12" i="14"/>
  <c r="I14" i="15" s="1"/>
  <c r="G11" i="14"/>
  <c r="I6" i="15" s="1"/>
  <c r="G10" i="14"/>
  <c r="B54" i="15" s="1"/>
  <c r="G9" i="14"/>
  <c r="B46" i="15" s="1"/>
  <c r="G8" i="14"/>
  <c r="B38" i="15" s="1"/>
  <c r="G7" i="14"/>
  <c r="B30" i="15" s="1"/>
  <c r="G6" i="14"/>
  <c r="B22" i="15" s="1"/>
  <c r="G5" i="14"/>
  <c r="B14" i="15" s="1"/>
  <c r="G4" i="14"/>
  <c r="B6" i="15" s="1"/>
  <c r="I39" i="13"/>
  <c r="J38" i="13"/>
  <c r="I38" i="13"/>
  <c r="J37" i="13"/>
  <c r="I37" i="13"/>
  <c r="J36" i="13"/>
  <c r="I36" i="13"/>
  <c r="M35" i="13"/>
  <c r="I35" i="13"/>
  <c r="M33" i="13"/>
  <c r="I33" i="13"/>
  <c r="I31" i="13"/>
  <c r="J30" i="13"/>
  <c r="I30" i="13"/>
  <c r="J29" i="13"/>
  <c r="I29" i="13"/>
  <c r="J28" i="13"/>
  <c r="I28" i="13"/>
  <c r="M27" i="13"/>
  <c r="I27" i="13"/>
  <c r="M25" i="13"/>
  <c r="I25" i="13"/>
  <c r="I23" i="13"/>
  <c r="J22" i="13"/>
  <c r="I22" i="13"/>
  <c r="J21" i="13"/>
  <c r="I21" i="13"/>
  <c r="J20" i="13"/>
  <c r="I20" i="13"/>
  <c r="M19" i="13"/>
  <c r="I19" i="13"/>
  <c r="M17" i="13"/>
  <c r="I17" i="13"/>
  <c r="B7" i="13"/>
  <c r="C6" i="13"/>
  <c r="C5" i="13"/>
  <c r="B5" i="13"/>
  <c r="C4" i="13"/>
  <c r="B4" i="13"/>
  <c r="F3" i="13"/>
  <c r="B3" i="13"/>
  <c r="F1" i="13"/>
  <c r="B1" i="13"/>
  <c r="G10" i="12"/>
  <c r="I14" i="13" s="1"/>
  <c r="G9" i="12"/>
  <c r="I6" i="13" s="1"/>
  <c r="G8" i="12"/>
  <c r="B38" i="13" s="1"/>
  <c r="G7" i="12"/>
  <c r="B30" i="13" s="1"/>
  <c r="B14" i="13"/>
  <c r="G4" i="12"/>
  <c r="B6" i="13" s="1"/>
  <c r="I38" i="31"/>
  <c r="G12" i="11"/>
  <c r="I30" i="31" s="1"/>
  <c r="G11" i="11"/>
  <c r="I22" i="31" s="1"/>
  <c r="G10" i="11"/>
  <c r="I14" i="31" s="1"/>
  <c r="G9" i="11"/>
  <c r="I6" i="31" s="1"/>
  <c r="G8" i="11"/>
  <c r="B38" i="31" s="1"/>
  <c r="G7" i="11"/>
  <c r="G6" i="11"/>
  <c r="B22" i="31" s="1"/>
  <c r="G5" i="11"/>
  <c r="B14" i="31" s="1"/>
  <c r="G4" i="11"/>
  <c r="B6" i="31" s="1"/>
  <c r="G4" i="9"/>
  <c r="B6" i="10" s="1"/>
  <c r="G6" i="7"/>
  <c r="B22" i="8" s="1"/>
  <c r="G5" i="7"/>
  <c r="B14" i="8" s="1"/>
  <c r="G4" i="7"/>
  <c r="B6" i="8" s="1"/>
  <c r="I71" i="6"/>
  <c r="J70" i="6"/>
  <c r="I70" i="6"/>
  <c r="J69" i="6"/>
  <c r="I69" i="6"/>
  <c r="J68" i="6"/>
  <c r="I68" i="6"/>
  <c r="M67" i="6"/>
  <c r="I67" i="6"/>
  <c r="M65" i="6"/>
  <c r="I65" i="6"/>
  <c r="I63" i="6"/>
  <c r="J62" i="6"/>
  <c r="I62" i="6"/>
  <c r="J61" i="6"/>
  <c r="I61" i="6"/>
  <c r="J60" i="6"/>
  <c r="I60" i="6"/>
  <c r="M59" i="6"/>
  <c r="I59" i="6"/>
  <c r="M57" i="6"/>
  <c r="I57" i="6"/>
  <c r="I55" i="6"/>
  <c r="J54" i="6"/>
  <c r="J53" i="6"/>
  <c r="I53" i="6"/>
  <c r="J52" i="6"/>
  <c r="I52" i="6"/>
  <c r="M51" i="6"/>
  <c r="I51" i="6"/>
  <c r="M49" i="6"/>
  <c r="I49" i="6"/>
  <c r="I47" i="6"/>
  <c r="J46" i="6"/>
  <c r="I46" i="6"/>
  <c r="J45" i="6"/>
  <c r="I45" i="6"/>
  <c r="J44" i="6"/>
  <c r="I44" i="6"/>
  <c r="M43" i="6"/>
  <c r="I43" i="6"/>
  <c r="M41" i="6"/>
  <c r="I41" i="6"/>
  <c r="B39" i="6"/>
  <c r="C38" i="6"/>
  <c r="C37" i="6"/>
  <c r="B37" i="6"/>
  <c r="C36" i="6"/>
  <c r="B36" i="6"/>
  <c r="F35" i="6"/>
  <c r="B35" i="6"/>
  <c r="F33" i="6"/>
  <c r="B33" i="6"/>
  <c r="B31" i="6"/>
  <c r="C30" i="6"/>
  <c r="C29" i="6"/>
  <c r="B29" i="6"/>
  <c r="C28" i="6"/>
  <c r="B28" i="6"/>
  <c r="F27" i="6"/>
  <c r="B27" i="6"/>
  <c r="F25" i="6"/>
  <c r="B25" i="6"/>
  <c r="B23" i="6"/>
  <c r="C22" i="6"/>
  <c r="B22" i="6"/>
  <c r="C21" i="6"/>
  <c r="B21" i="6"/>
  <c r="C20" i="6"/>
  <c r="B20" i="6"/>
  <c r="F19" i="6"/>
  <c r="B19" i="6"/>
  <c r="F17" i="6"/>
  <c r="B17" i="6"/>
  <c r="B15" i="6"/>
  <c r="C14" i="6"/>
  <c r="C13" i="6"/>
  <c r="B13" i="6"/>
  <c r="C12" i="6"/>
  <c r="B12" i="6"/>
  <c r="F11" i="6"/>
  <c r="B11" i="6"/>
  <c r="F9" i="6"/>
  <c r="B9" i="6"/>
  <c r="B7" i="6"/>
  <c r="C6" i="6"/>
  <c r="C5" i="6"/>
  <c r="B5" i="6"/>
  <c r="C4" i="6"/>
  <c r="B4" i="6"/>
  <c r="F3" i="6"/>
  <c r="B3" i="6"/>
  <c r="B1" i="6"/>
  <c r="B38" i="6"/>
  <c r="B30" i="6"/>
  <c r="G5" i="5"/>
  <c r="B14" i="6" s="1"/>
  <c r="G4" i="5"/>
  <c r="B6" i="6" s="1"/>
  <c r="I55" i="4"/>
  <c r="J54" i="4"/>
  <c r="I54" i="4"/>
  <c r="J53" i="4"/>
  <c r="I53" i="4"/>
  <c r="J52" i="4"/>
  <c r="I52" i="4"/>
  <c r="M51" i="4"/>
  <c r="I51" i="4"/>
  <c r="M49" i="4"/>
  <c r="I49" i="4"/>
  <c r="I47" i="4"/>
  <c r="J46" i="4"/>
  <c r="I46" i="4"/>
  <c r="J45" i="4"/>
  <c r="I45" i="4"/>
  <c r="J44" i="4"/>
  <c r="I44" i="4"/>
  <c r="M43" i="4"/>
  <c r="I43" i="4"/>
  <c r="M41" i="4"/>
  <c r="I41" i="4"/>
  <c r="I39" i="4"/>
  <c r="J38" i="4"/>
  <c r="I38" i="4"/>
  <c r="J37" i="4"/>
  <c r="I37" i="4"/>
  <c r="J36" i="4"/>
  <c r="I36" i="4"/>
  <c r="M35" i="4"/>
  <c r="I35" i="4"/>
  <c r="M33" i="4"/>
  <c r="I33" i="4"/>
  <c r="I31" i="4"/>
  <c r="J30" i="4"/>
  <c r="I30" i="4"/>
  <c r="J29" i="4"/>
  <c r="I29" i="4"/>
  <c r="J28" i="4"/>
  <c r="I28" i="4"/>
  <c r="M27" i="4"/>
  <c r="I27" i="4"/>
  <c r="M25" i="4"/>
  <c r="I25" i="4"/>
  <c r="I23" i="4"/>
  <c r="J22" i="4"/>
  <c r="I22" i="4"/>
  <c r="J21" i="4"/>
  <c r="I21" i="4"/>
  <c r="J20" i="4"/>
  <c r="I20" i="4"/>
  <c r="M19" i="4"/>
  <c r="I19" i="4"/>
  <c r="M17" i="4"/>
  <c r="I17" i="4"/>
  <c r="I39" i="2"/>
  <c r="B39" i="2"/>
  <c r="J38" i="2"/>
  <c r="I38" i="2"/>
  <c r="J37" i="2"/>
  <c r="I37" i="2"/>
  <c r="B37" i="2"/>
  <c r="J36" i="2"/>
  <c r="I36" i="2"/>
  <c r="B36" i="2"/>
  <c r="M35" i="2"/>
  <c r="I35" i="2"/>
  <c r="F35" i="2"/>
  <c r="B35" i="2"/>
  <c r="M33" i="2"/>
  <c r="I33" i="2"/>
  <c r="F33" i="2"/>
  <c r="B33" i="2"/>
  <c r="I31" i="2"/>
  <c r="B31" i="2"/>
  <c r="J30" i="2"/>
  <c r="I30" i="2"/>
  <c r="C30" i="2"/>
  <c r="B30" i="2"/>
  <c r="J29" i="2"/>
  <c r="I29" i="2"/>
  <c r="C29" i="2"/>
  <c r="B29" i="2"/>
  <c r="J28" i="2"/>
  <c r="I28" i="2"/>
  <c r="C28" i="2"/>
  <c r="B28" i="2"/>
  <c r="M27" i="2"/>
  <c r="I27" i="2"/>
  <c r="F27" i="2"/>
  <c r="B27" i="2"/>
  <c r="M25" i="2"/>
  <c r="I25" i="2"/>
  <c r="F25" i="2"/>
  <c r="B25" i="2"/>
  <c r="I23" i="2"/>
  <c r="B23" i="2"/>
  <c r="J22" i="2"/>
  <c r="I22" i="2"/>
  <c r="C22" i="2"/>
  <c r="J21" i="2"/>
  <c r="I21" i="2"/>
  <c r="C21" i="2"/>
  <c r="B21" i="2"/>
  <c r="J20" i="2"/>
  <c r="I20" i="2"/>
  <c r="C20" i="2"/>
  <c r="B20" i="2"/>
  <c r="M19" i="2"/>
  <c r="I19" i="2"/>
  <c r="F19" i="2"/>
  <c r="B19" i="2"/>
  <c r="M17" i="2"/>
  <c r="I17" i="2"/>
  <c r="F17" i="2"/>
  <c r="B17" i="2"/>
  <c r="I15" i="2"/>
  <c r="B15" i="2"/>
  <c r="J14" i="2"/>
  <c r="I14" i="2"/>
  <c r="C14" i="2"/>
  <c r="J13" i="2"/>
  <c r="I13" i="2"/>
  <c r="C13" i="2"/>
  <c r="B13" i="2"/>
  <c r="J12" i="2"/>
  <c r="I12" i="2"/>
  <c r="C12" i="2"/>
  <c r="B12" i="2"/>
  <c r="M11" i="2"/>
  <c r="I11" i="2"/>
  <c r="F11" i="2"/>
  <c r="B11" i="2"/>
  <c r="M9" i="2"/>
  <c r="I9" i="2"/>
  <c r="F9" i="2"/>
  <c r="B9" i="2"/>
  <c r="I7" i="2"/>
  <c r="B7" i="2"/>
  <c r="J6" i="2"/>
  <c r="I6" i="2"/>
  <c r="C6" i="2"/>
  <c r="B6" i="2"/>
  <c r="J5" i="2"/>
  <c r="I5" i="2"/>
  <c r="C5" i="2"/>
  <c r="B5" i="2"/>
  <c r="J4" i="2"/>
  <c r="I4" i="2"/>
  <c r="C4" i="2"/>
  <c r="B4" i="2"/>
  <c r="M3" i="2"/>
  <c r="I3" i="2"/>
  <c r="F3" i="2"/>
  <c r="M1" i="2"/>
  <c r="I1" i="2"/>
  <c r="F1" i="2"/>
  <c r="B1" i="2"/>
  <c r="B38" i="2"/>
  <c r="B22" i="2"/>
  <c r="G6" i="1"/>
  <c r="G5" i="1"/>
  <c r="B14" i="2" s="1"/>
  <c r="I54" i="6" l="1"/>
  <c r="B30" i="31"/>
  <c r="G6" i="30" l="1"/>
  <c r="F6" i="30"/>
  <c r="G5" i="30"/>
  <c r="F5" i="30"/>
  <c r="G4" i="30"/>
  <c r="F4" i="30"/>
  <c r="G3" i="30"/>
  <c r="F3" i="30"/>
  <c r="G7" i="30" s="1"/>
</calcChain>
</file>

<file path=xl/sharedStrings.xml><?xml version="1.0" encoding="utf-8"?>
<sst xmlns="http://schemas.openxmlformats.org/spreadsheetml/2006/main" count="2284" uniqueCount="291">
  <si>
    <t>Data de Nasc.</t>
  </si>
  <si>
    <t>Data pesagem</t>
  </si>
  <si>
    <t xml:space="preserve">Idade </t>
  </si>
  <si>
    <t>Peso (kg)</t>
  </si>
  <si>
    <t xml:space="preserve">Estatura (m) </t>
  </si>
  <si>
    <t xml:space="preserve">IMC (kg/m²) </t>
  </si>
  <si>
    <t>IMC/I</t>
  </si>
  <si>
    <t>P/I</t>
  </si>
  <si>
    <t>E/I</t>
  </si>
  <si>
    <t>DIAGNÓSTICO NUTRICIONAL</t>
  </si>
  <si>
    <t>Menina</t>
  </si>
  <si>
    <t>Menino</t>
  </si>
  <si>
    <t>Baixo peso</t>
  </si>
  <si>
    <t>Adequado</t>
  </si>
  <si>
    <t>Gael Bello Bittencourt</t>
  </si>
  <si>
    <t>Sobrepeso</t>
  </si>
  <si>
    <t>Luiggi Chiari Pieruzzi</t>
  </si>
  <si>
    <t>Obesidade</t>
  </si>
  <si>
    <t>Total / gênero</t>
  </si>
  <si>
    <t>Total</t>
  </si>
  <si>
    <t>Téo Formaggio Pereira</t>
  </si>
  <si>
    <t>Nome</t>
  </si>
  <si>
    <t>DN</t>
  </si>
  <si>
    <t>Nutricionista: Carina C. R. Xavier - CRN-3: 20.044</t>
  </si>
  <si>
    <t>Data</t>
  </si>
  <si>
    <t>Percentil</t>
  </si>
  <si>
    <t>Idade (anos)</t>
  </si>
  <si>
    <t>Estatura (m)</t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</si>
  <si>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</si>
  <si>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</si>
  <si>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t>Diagnóstico nutricional</t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</si>
  <si>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</si>
  <si>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</si>
  <si>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t>Idade</t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</si>
  <si>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</si>
  <si>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</si>
  <si>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</si>
  <si>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</si>
  <si>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</si>
  <si>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</si>
  <si>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t>Eli Zaroni Vieira</t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</si>
  <si>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</si>
  <si>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</si>
  <si>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</si>
  <si>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</si>
  <si>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</si>
  <si>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</si>
  <si>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</si>
  <si>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</si>
  <si>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</si>
  <si>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t>Jorge Cavalheiro Mauá Diba</t>
  </si>
  <si>
    <t>Noah Lacativa Penna</t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</si>
  <si>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</si>
  <si>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</si>
  <si>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</si>
  <si>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</si>
  <si>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</si>
  <si>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</si>
  <si>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</si>
  <si>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</si>
  <si>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</si>
  <si>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</si>
  <si>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t>Beatriz Tanahashi Pereira</t>
  </si>
  <si>
    <t>Catarina Saquete Rodrigues</t>
  </si>
  <si>
    <t>Gabriela Vello de Moraes</t>
  </si>
  <si>
    <t>Leonardo Mônaco André</t>
  </si>
  <si>
    <t>Luca Torres Borini</t>
  </si>
  <si>
    <t>Theo Kenji Kuba Imamura</t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</si>
  <si>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</si>
  <si>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</si>
  <si>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t>Beatriz Cury Aquino</t>
  </si>
  <si>
    <t>Laura Lentini Fernandes</t>
  </si>
  <si>
    <t>Pedro Teixeira Martins</t>
  </si>
  <si>
    <t>Theo Batista Lucena</t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</si>
  <si>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</si>
  <si>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</si>
  <si>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t>Estela Manchini Tateo</t>
  </si>
  <si>
    <t>Gael Pasqualin Modesto</t>
  </si>
  <si>
    <t>Lucas Silvestre Moita</t>
  </si>
  <si>
    <t>Luísa Miotto Sant'Anna</t>
  </si>
  <si>
    <t>Rafaela Codatto Oliani</t>
  </si>
  <si>
    <t>Arthur Boaretto Mendes</t>
  </si>
  <si>
    <t>Beatriz Castilla Pagani</t>
  </si>
  <si>
    <t>Bruno Simm Benedetti</t>
  </si>
  <si>
    <t>Matteo Oyama Buccini</t>
  </si>
  <si>
    <t>Theo Takamori Chirico</t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</si>
  <si>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</si>
  <si>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</si>
  <si>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</si>
  <si>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</si>
  <si>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t>Nutricionista: Carina C. R. Xavier - CRN-3: 13.044</t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</si>
  <si>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</si>
  <si>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t>Giovanna Yumi Ferraz Fugita</t>
  </si>
  <si>
    <t>Larissa Daniel Vello</t>
  </si>
  <si>
    <t>Lucas Salvador Carvalho</t>
  </si>
  <si>
    <t>Maria Clara Marques Peres</t>
  </si>
  <si>
    <t>Noah Pestana Costa</t>
  </si>
  <si>
    <t>Pedro Boaretto Mendes</t>
  </si>
  <si>
    <t>Samuel Travagini Garcia</t>
  </si>
  <si>
    <t>Victor Brondino</t>
  </si>
  <si>
    <t>Vinicius Perfetto Zaneti</t>
  </si>
  <si>
    <t>Heloísa Abrahao Hirose</t>
  </si>
  <si>
    <t>Henry Barsotti Nunes</t>
  </si>
  <si>
    <t>Manuella Junqueira Rocha</t>
  </si>
  <si>
    <t>Rodrigo Junqueira Rocha</t>
  </si>
  <si>
    <t>Victor Petenate Manfrin</t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</si>
  <si>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</si>
  <si>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</si>
  <si>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</si>
  <si>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t>Alice Pombo Ramos</t>
  </si>
  <si>
    <t>Elisa Guimarães Nakaie</t>
  </si>
  <si>
    <t>Laís Ozan Canettieri</t>
  </si>
  <si>
    <t>Luís dos Santos Nunes</t>
  </si>
  <si>
    <t>Maria Luiza Dias Cruz</t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</si>
  <si>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</si>
  <si>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</si>
  <si>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</si>
  <si>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</si>
  <si>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</si>
  <si>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</si>
  <si>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</si>
  <si>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</si>
  <si>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</si>
  <si>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</si>
  <si>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</si>
  <si>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</si>
  <si>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</si>
  <si>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</si>
  <si>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r>
      <rPr>
        <b/>
        <sz val="11"/>
        <color theme="1"/>
        <rFont val="Calibri"/>
      </rPr>
      <t>IMC (kg/m</t>
    </r>
    <r>
      <rPr>
        <b/>
        <sz val="11"/>
        <color theme="1"/>
        <rFont val="Calibri"/>
      </rPr>
      <t>²)</t>
    </r>
  </si>
  <si>
    <t>Menina (n)</t>
  </si>
  <si>
    <t>Menino (n)</t>
  </si>
  <si>
    <t>Menina (%)</t>
  </si>
  <si>
    <t>Menino (%)</t>
  </si>
  <si>
    <t>Baixo Peso</t>
  </si>
  <si>
    <t>Eutrofia</t>
  </si>
  <si>
    <t>Total de crianças</t>
  </si>
  <si>
    <t>Bernardo C. Melhado</t>
  </si>
  <si>
    <t>Rafaela Saori Teruya Lima</t>
  </si>
  <si>
    <t>Vitor Lima Rodarte</t>
  </si>
  <si>
    <t>Bernardo Enju Orbite</t>
  </si>
  <si>
    <t>Guilherme Olhê P. Augusto</t>
  </si>
  <si>
    <t>Helena Torres Borini</t>
  </si>
  <si>
    <t>Lucas Vieira Cutovoi</t>
  </si>
  <si>
    <t>Beatriz B. Foster de Oliveira</t>
  </si>
  <si>
    <t>Giovanna Gianini Freitas</t>
  </si>
  <si>
    <t>Julia Gianini Freitas</t>
  </si>
  <si>
    <t>Théo Silva Oliveira</t>
  </si>
  <si>
    <t>João Hideki Aoyama Ota</t>
  </si>
  <si>
    <t>Alice Cardoso Montenegro</t>
  </si>
  <si>
    <t>Alice Aguiar Rodrigues</t>
  </si>
  <si>
    <r>
      <rPr>
        <b/>
        <sz val="11"/>
        <color theme="1"/>
        <rFont val="Calibri"/>
        <family val="2"/>
      </rPr>
      <t>IMC (kg/m</t>
    </r>
    <r>
      <rPr>
        <b/>
        <sz val="11"/>
        <color theme="1"/>
        <rFont val="Calibri"/>
        <family val="2"/>
      </rPr>
      <t>²)</t>
    </r>
  </si>
  <si>
    <r>
      <t>IMC (kg/m</t>
    </r>
    <r>
      <rPr>
        <b/>
        <sz val="11"/>
        <color theme="1"/>
        <rFont val="Calibri"/>
        <family val="2"/>
      </rPr>
      <t>²)</t>
    </r>
    <r>
      <rPr>
        <b/>
        <sz val="11"/>
        <color theme="1"/>
        <rFont val="Arial"/>
        <family val="2"/>
      </rPr>
      <t xml:space="preserve"> </t>
    </r>
  </si>
  <si>
    <t>Avaliação Nutricional 2025/1  Berçário 1</t>
  </si>
  <si>
    <t>Avaliação Nutricional 2025/1 - Berçário 2</t>
  </si>
  <si>
    <t>Avaliação Nutricional 2025/1 - Mini baby</t>
  </si>
  <si>
    <t>Avaliação Nutricional 2025/1 - Mini Maternal A</t>
  </si>
  <si>
    <t>Avaliação Nutricional 2025/1 - Mini maternal B</t>
  </si>
  <si>
    <t>Avaliação Nutricional 2025/1 - Maternal B</t>
  </si>
  <si>
    <t>Avaliação Nutricional 2025/1 - Jardim 1B</t>
  </si>
  <si>
    <t>Ana Tanahashi F. Pereira</t>
  </si>
  <si>
    <t>Eduardo Luiz D. P. Filho</t>
  </si>
  <si>
    <t>Enrico Oyama Buccini</t>
  </si>
  <si>
    <t>Giulia Giuntoli Sinigaglia</t>
  </si>
  <si>
    <t>Heloísa Yukie Tina Herrera</t>
  </si>
  <si>
    <t>Julia Coda Amieiro</t>
  </si>
  <si>
    <t>Louise Oliveira Starke</t>
  </si>
  <si>
    <t>Matteo Manzi Trindade</t>
  </si>
  <si>
    <t>Bianca Simioni Cavalieri</t>
  </si>
  <si>
    <t>Clara Mayumi H. Barbosa</t>
  </si>
  <si>
    <t>Átila Topic</t>
  </si>
  <si>
    <t>Camilo Bernardo Municelli</t>
  </si>
  <si>
    <t>Cecília P. Manfrín</t>
  </si>
  <si>
    <t>Helena dos Santos Pereira</t>
  </si>
  <si>
    <t xml:space="preserve">Pérola de Lima B. Santos </t>
  </si>
  <si>
    <t>Alice Del Cistia Magalhães</t>
  </si>
  <si>
    <t>Clara Arjonilla Porazenka</t>
  </si>
  <si>
    <t>Isabela Buzzini Casa Vechia</t>
  </si>
  <si>
    <t xml:space="preserve"> 19/07/2022</t>
  </si>
  <si>
    <t>Lucas Barbosa Perez</t>
  </si>
  <si>
    <t>Manuela M. M. S. G. da Costa</t>
  </si>
  <si>
    <t>Olívia Pereira Menezes</t>
  </si>
  <si>
    <t>Pedro Rodrigues Gomes</t>
  </si>
  <si>
    <t>Bella P. D'Acunto T. Viera</t>
  </si>
  <si>
    <t>Heitor F. S. Lourenço</t>
  </si>
  <si>
    <t>Henrique M. Gonçalves</t>
  </si>
  <si>
    <t>Malu Costa M. Pereira</t>
  </si>
  <si>
    <t>Pedro M.Augusto de Souza</t>
  </si>
  <si>
    <t>Valentina Travagini Garcia</t>
  </si>
  <si>
    <t xml:space="preserve"> 09/12/2022</t>
  </si>
  <si>
    <t>Bernardo Rolão M. de Lima</t>
  </si>
  <si>
    <t>Gabriel P. Cappi Ferreira</t>
  </si>
  <si>
    <t>João Pedro de M. Torres</t>
  </si>
  <si>
    <t>Avaliação Nutricional 2025/1 -  Maternal A</t>
  </si>
  <si>
    <t>Manuella Boffi O. da Cruz</t>
  </si>
  <si>
    <t>Maria Eduarda M. Bordinhon</t>
  </si>
  <si>
    <t>Matheus G.A. Pereira</t>
  </si>
  <si>
    <t>Otavio F. Takenaka</t>
  </si>
  <si>
    <t>Avaliação Nutricional 2025/1 - Maternal C</t>
  </si>
  <si>
    <t>Beatriz Antonella F. Real</t>
  </si>
  <si>
    <t>João Victor C. de Morais</t>
  </si>
  <si>
    <t>Kael H. de P.Watanabe</t>
  </si>
  <si>
    <t>Maria Luiza Hobl Genaro</t>
  </si>
  <si>
    <t>Fernanda Nishino</t>
  </si>
  <si>
    <t>Luiz Henrique S.Rodrigues</t>
  </si>
  <si>
    <t>Avaliação Nutricional 2025/1 - Jardim 1A</t>
  </si>
  <si>
    <t>Data de pesagem</t>
  </si>
  <si>
    <t>Henrique . F. dos Santos</t>
  </si>
  <si>
    <t>Olivia F.Takenaka</t>
  </si>
  <si>
    <t>Roger Torres R. da Silva</t>
  </si>
  <si>
    <t>Theo Pestana Costa</t>
  </si>
  <si>
    <t xml:space="preserve">Avaliação Nutricional 2025/1 Jardim 2A </t>
  </si>
  <si>
    <t>Arthur Silverio B. Ramos</t>
  </si>
  <si>
    <t>Aurora de C.Xavier Coelho</t>
  </si>
  <si>
    <t>Maria Júlia T. Kitagawa</t>
  </si>
  <si>
    <t xml:space="preserve">Avaliação Nutricional 2025/1 - Jardim 2B </t>
  </si>
  <si>
    <t>Fabrício F. R. E. Andriolo</t>
  </si>
  <si>
    <t>Giulia P. D'Acunto T. Viera</t>
  </si>
  <si>
    <t>Helena B.Ferreira do Amaral</t>
  </si>
  <si>
    <t>Helena D. P. de Oliveira</t>
  </si>
  <si>
    <t>Heloisa Paiva Fudimori</t>
  </si>
  <si>
    <t>Maria Eduarda G. Ramires</t>
  </si>
  <si>
    <t>Melissa Costa M. Pereira</t>
  </si>
  <si>
    <t>Paulo Eduardo C, de Angelis</t>
  </si>
  <si>
    <t>2a 9m</t>
  </si>
  <si>
    <t>2a 8m</t>
  </si>
  <si>
    <t>2a 6m</t>
  </si>
  <si>
    <t>2a 7m</t>
  </si>
  <si>
    <t>2a 5m</t>
  </si>
  <si>
    <t>2a 2m</t>
  </si>
  <si>
    <t xml:space="preserve">2a </t>
  </si>
  <si>
    <t>1a 5m</t>
  </si>
  <si>
    <t>1a 6m</t>
  </si>
  <si>
    <t>1a 8m</t>
  </si>
  <si>
    <t>1a 7m</t>
  </si>
  <si>
    <t>1a 9m</t>
  </si>
  <si>
    <t>1a 10m</t>
  </si>
  <si>
    <t>2a 1m</t>
  </si>
  <si>
    <t>2a 10m</t>
  </si>
  <si>
    <t>2a 3m</t>
  </si>
  <si>
    <t>3a 4m</t>
  </si>
  <si>
    <t>3a 7m</t>
  </si>
  <si>
    <t>3a 1m</t>
  </si>
  <si>
    <t>3a 3m</t>
  </si>
  <si>
    <t>3a 9m</t>
  </si>
  <si>
    <t xml:space="preserve">3a </t>
  </si>
  <si>
    <t>3a 8m</t>
  </si>
  <si>
    <t>3a 11m</t>
  </si>
  <si>
    <t>3a 10m</t>
  </si>
  <si>
    <t>3a 5m</t>
  </si>
  <si>
    <t>3a 6m</t>
  </si>
  <si>
    <t>4a 1m</t>
  </si>
  <si>
    <t>4a 3m</t>
  </si>
  <si>
    <t>4a 5m</t>
  </si>
  <si>
    <t>4a 7m</t>
  </si>
  <si>
    <t>4a 10m</t>
  </si>
  <si>
    <t>4a 9m</t>
  </si>
  <si>
    <t>4a 8m</t>
  </si>
  <si>
    <t xml:space="preserve">4a </t>
  </si>
  <si>
    <t>4a 11m</t>
  </si>
  <si>
    <t>4a 4m</t>
  </si>
  <si>
    <t xml:space="preserve">5a </t>
  </si>
  <si>
    <t>5a 8m</t>
  </si>
  <si>
    <t>5a 4m</t>
  </si>
  <si>
    <t>5a 11m</t>
  </si>
  <si>
    <t>5a 10m</t>
  </si>
  <si>
    <t>5a 9m</t>
  </si>
  <si>
    <t>5a 1m</t>
  </si>
  <si>
    <t>5a 2m</t>
  </si>
  <si>
    <t>5a 7m</t>
  </si>
  <si>
    <t>75-85</t>
  </si>
  <si>
    <t>97-99</t>
  </si>
  <si>
    <t>85-95</t>
  </si>
  <si>
    <t>15-25</t>
  </si>
  <si>
    <t>5-15.</t>
  </si>
  <si>
    <t>25-50</t>
  </si>
  <si>
    <t>50-75</t>
  </si>
  <si>
    <t>1-3.</t>
  </si>
  <si>
    <t>95-97</t>
  </si>
  <si>
    <t>11 m</t>
  </si>
  <si>
    <t>8 m</t>
  </si>
  <si>
    <t>1a</t>
  </si>
  <si>
    <t>1a 1m</t>
  </si>
  <si>
    <t>&gt; 99</t>
  </si>
  <si>
    <t>4 m</t>
  </si>
  <si>
    <t>7 m</t>
  </si>
  <si>
    <t>3-5.</t>
  </si>
  <si>
    <t xml:space="preserve">Faltou </t>
  </si>
  <si>
    <t>EUTROFIA</t>
  </si>
  <si>
    <t>SOBREPESO</t>
  </si>
  <si>
    <t>OBESIDADE</t>
  </si>
  <si>
    <t>ADEQUADO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</si>
</sst>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d\-m"/>
  </numFmts>
  <fonts count="3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rgb="FFA40C66"/>
      <name val="Calibri"/>
    </font>
    <font>
      <sz val="11"/>
      <color rgb="FF0070C0"/>
      <name val="Calibri"/>
    </font>
    <font>
      <b/>
      <sz val="11"/>
      <color rgb="FFC00000"/>
      <name val="Calibri"/>
    </font>
    <font>
      <sz val="11"/>
      <color rgb="FF2F5496"/>
      <name val="Calibri"/>
    </font>
    <font>
      <sz val="11"/>
      <color rgb="FFFF0066"/>
      <name val="Calibri"/>
    </font>
    <font>
      <sz val="11"/>
      <color theme="1"/>
      <name val="Calibri"/>
      <scheme val="minor"/>
    </font>
    <font>
      <sz val="11"/>
      <color theme="4"/>
      <name val="Calibri"/>
      <family val="2"/>
    </font>
    <font>
      <sz val="11"/>
      <color theme="4"/>
      <name val="Calibri"/>
      <family val="2"/>
      <scheme val="minor"/>
    </font>
    <font>
      <sz val="11"/>
      <color rgb="FFC00000"/>
      <name val="Calibri"/>
      <family val="2"/>
    </font>
    <font>
      <b/>
      <sz val="11"/>
      <color theme="1"/>
      <name val="Calibri"/>
      <family val="2"/>
    </font>
    <font>
      <sz val="11"/>
      <color rgb="FF0070C0"/>
      <name val="Calibri"/>
      <family val="2"/>
    </font>
    <font>
      <sz val="11"/>
      <color theme="1"/>
      <name val="Calibri"/>
      <family val="2"/>
    </font>
    <font>
      <b/>
      <sz val="11"/>
      <color rgb="FFC00000"/>
      <name val="Calibri"/>
      <family val="2"/>
    </font>
    <font>
      <sz val="11"/>
      <name val="Calibri"/>
      <family val="2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0070C0"/>
      <name val="Calibri"/>
      <family val="2"/>
      <scheme val="minor"/>
    </font>
    <font>
      <sz val="10"/>
      <color rgb="FF0070C0"/>
      <name val="Calibri"/>
      <family val="2"/>
    </font>
    <font>
      <sz val="10"/>
      <color rgb="FFFF0000"/>
      <name val="Calibri"/>
      <family val="2"/>
    </font>
    <font>
      <sz val="10"/>
      <color rgb="FFFF0000"/>
      <name val="Calibri"/>
      <family val="2"/>
      <scheme val="minor"/>
    </font>
    <font>
      <sz val="10"/>
      <color theme="4"/>
      <name val="Calibri"/>
      <family val="2"/>
    </font>
    <font>
      <sz val="10"/>
      <color theme="4"/>
      <name val="Roboto"/>
    </font>
    <font>
      <sz val="10"/>
      <color rgb="FFFF0000"/>
      <name val="Roboto"/>
    </font>
    <font>
      <sz val="10"/>
      <color rgb="FF0070C0"/>
      <name val="Roboto"/>
    </font>
    <font>
      <sz val="10"/>
      <color rgb="FF0070C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6B8AF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FFFF"/>
      </patternFill>
    </fill>
  </fills>
  <borders count="8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529">
    <xf numFmtId="0" fontId="0" fillId="0" borderId="0" xfId="0"/>
    <xf numFmtId="0" fontId="4" fillId="2" borderId="4" xfId="0" applyFont="1" applyFill="1" applyBorder="1"/>
    <xf numFmtId="14" fontId="2" fillId="2" borderId="5" xfId="0" applyNumberFormat="1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wrapText="1"/>
    </xf>
    <xf numFmtId="0" fontId="4" fillId="2" borderId="11" xfId="0" applyFont="1" applyFill="1" applyBorder="1"/>
    <xf numFmtId="0" fontId="4" fillId="2" borderId="0" xfId="0" applyFont="1" applyFill="1"/>
    <xf numFmtId="0" fontId="4" fillId="2" borderId="16" xfId="0" applyFont="1" applyFill="1" applyBorder="1"/>
    <xf numFmtId="0" fontId="4" fillId="2" borderId="17" xfId="0" applyFont="1" applyFill="1" applyBorder="1" applyAlignment="1">
      <alignment horizontal="left"/>
    </xf>
    <xf numFmtId="0" fontId="4" fillId="2" borderId="18" xfId="0" applyFont="1" applyFill="1" applyBorder="1"/>
    <xf numFmtId="0" fontId="7" fillId="0" borderId="7" xfId="0" applyFont="1" applyBorder="1"/>
    <xf numFmtId="0" fontId="7" fillId="0" borderId="8" xfId="0" applyFont="1" applyBorder="1"/>
    <xf numFmtId="14" fontId="7" fillId="0" borderId="9" xfId="0" applyNumberFormat="1" applyFont="1" applyBorder="1"/>
    <xf numFmtId="0" fontId="2" fillId="0" borderId="10" xfId="0" applyFont="1" applyBorder="1" applyAlignment="1">
      <alignment horizontal="center" wrapText="1"/>
    </xf>
    <xf numFmtId="14" fontId="2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2" fontId="4" fillId="0" borderId="11" xfId="0" applyNumberFormat="1" applyFont="1" applyBorder="1" applyAlignment="1">
      <alignment horizontal="center"/>
    </xf>
    <xf numFmtId="14" fontId="4" fillId="0" borderId="11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left" wrapText="1"/>
    </xf>
    <xf numFmtId="164" fontId="4" fillId="0" borderId="11" xfId="0" applyNumberFormat="1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17" fontId="4" fillId="0" borderId="11" xfId="0" applyNumberFormat="1" applyFont="1" applyBorder="1" applyAlignment="1">
      <alignment horizontal="center"/>
    </xf>
    <xf numFmtId="0" fontId="4" fillId="2" borderId="35" xfId="0" applyFont="1" applyFill="1" applyBorder="1"/>
    <xf numFmtId="0" fontId="4" fillId="2" borderId="11" xfId="0" applyFont="1" applyFill="1" applyBorder="1" applyAlignment="1">
      <alignment horizontal="left"/>
    </xf>
    <xf numFmtId="0" fontId="4" fillId="2" borderId="36" xfId="0" applyFont="1" applyFill="1" applyBorder="1"/>
    <xf numFmtId="165" fontId="4" fillId="0" borderId="11" xfId="0" applyNumberFormat="1" applyFont="1" applyBorder="1" applyAlignment="1">
      <alignment horizontal="center"/>
    </xf>
    <xf numFmtId="0" fontId="7" fillId="0" borderId="0" xfId="0" applyFont="1"/>
    <xf numFmtId="14" fontId="7" fillId="0" borderId="0" xfId="0" applyNumberFormat="1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0" fontId="2" fillId="0" borderId="0" xfId="0" applyFont="1" applyAlignment="1">
      <alignment horizontal="left" wrapText="1"/>
    </xf>
    <xf numFmtId="0" fontId="4" fillId="2" borderId="37" xfId="0" applyFont="1" applyFill="1" applyBorder="1"/>
    <xf numFmtId="0" fontId="4" fillId="2" borderId="35" xfId="0" applyFont="1" applyFill="1" applyBorder="1" applyAlignment="1">
      <alignment wrapText="1"/>
    </xf>
    <xf numFmtId="0" fontId="4" fillId="2" borderId="38" xfId="0" applyFont="1" applyFill="1" applyBorder="1" applyAlignment="1">
      <alignment wrapText="1"/>
    </xf>
    <xf numFmtId="0" fontId="4" fillId="2" borderId="38" xfId="0" applyFont="1" applyFill="1" applyBorder="1"/>
    <xf numFmtId="0" fontId="4" fillId="2" borderId="39" xfId="0" applyFont="1" applyFill="1" applyBorder="1"/>
    <xf numFmtId="1" fontId="6" fillId="0" borderId="0" xfId="0" applyNumberFormat="1" applyFont="1" applyAlignment="1">
      <alignment horizontal="center"/>
    </xf>
    <xf numFmtId="0" fontId="4" fillId="2" borderId="40" xfId="0" applyFont="1" applyFill="1" applyBorder="1"/>
    <xf numFmtId="0" fontId="4" fillId="2" borderId="41" xfId="0" applyFont="1" applyFill="1" applyBorder="1"/>
    <xf numFmtId="0" fontId="4" fillId="2" borderId="42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/>
    <xf numFmtId="20" fontId="4" fillId="0" borderId="11" xfId="0" applyNumberFormat="1" applyFont="1" applyBorder="1" applyAlignment="1">
      <alignment horizontal="center"/>
    </xf>
    <xf numFmtId="0" fontId="4" fillId="0" borderId="17" xfId="0" applyFont="1" applyBorder="1" applyAlignment="1">
      <alignment horizontal="left"/>
    </xf>
    <xf numFmtId="0" fontId="4" fillId="0" borderId="41" xfId="0" applyFont="1" applyBorder="1"/>
    <xf numFmtId="0" fontId="4" fillId="0" borderId="42" xfId="0" applyFont="1" applyBorder="1"/>
    <xf numFmtId="0" fontId="4" fillId="0" borderId="18" xfId="0" applyFont="1" applyBorder="1"/>
    <xf numFmtId="0" fontId="4" fillId="2" borderId="41" xfId="0" applyFont="1" applyFill="1" applyBorder="1" applyAlignment="1">
      <alignment horizontal="left"/>
    </xf>
    <xf numFmtId="0" fontId="4" fillId="2" borderId="51" xfId="0" applyFont="1" applyFill="1" applyBorder="1"/>
    <xf numFmtId="0" fontId="5" fillId="2" borderId="18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4" fontId="9" fillId="2" borderId="4" xfId="0" applyNumberFormat="1" applyFont="1" applyFill="1" applyBorder="1"/>
    <xf numFmtId="0" fontId="4" fillId="0" borderId="11" xfId="0" applyFont="1" applyBorder="1"/>
    <xf numFmtId="0" fontId="2" fillId="2" borderId="49" xfId="0" applyFont="1" applyFill="1" applyBorder="1" applyAlignment="1">
      <alignment horizontal="center" wrapText="1"/>
    </xf>
    <xf numFmtId="1" fontId="4" fillId="0" borderId="11" xfId="0" applyNumberFormat="1" applyFont="1" applyBorder="1"/>
    <xf numFmtId="1" fontId="4" fillId="0" borderId="0" xfId="0" applyNumberFormat="1" applyFont="1"/>
    <xf numFmtId="0" fontId="10" fillId="0" borderId="0" xfId="0" applyFont="1"/>
    <xf numFmtId="0" fontId="0" fillId="4" borderId="0" xfId="0" applyFill="1"/>
    <xf numFmtId="0" fontId="2" fillId="2" borderId="53" xfId="0" applyFont="1" applyFill="1" applyBorder="1" applyAlignment="1">
      <alignment horizontal="center" wrapText="1"/>
    </xf>
    <xf numFmtId="0" fontId="2" fillId="2" borderId="54" xfId="0" applyFont="1" applyFill="1" applyBorder="1" applyAlignment="1">
      <alignment horizontal="center" wrapText="1"/>
    </xf>
    <xf numFmtId="0" fontId="2" fillId="2" borderId="55" xfId="0" applyFont="1" applyFill="1" applyBorder="1" applyAlignment="1">
      <alignment horizontal="center" wrapText="1"/>
    </xf>
    <xf numFmtId="14" fontId="11" fillId="2" borderId="56" xfId="0" applyNumberFormat="1" applyFont="1" applyFill="1" applyBorder="1" applyAlignment="1">
      <alignment horizontal="left" vertical="center"/>
    </xf>
    <xf numFmtId="14" fontId="11" fillId="2" borderId="52" xfId="0" applyNumberFormat="1" applyFont="1" applyFill="1" applyBorder="1" applyAlignment="1">
      <alignment horizontal="center" vertical="center"/>
    </xf>
    <xf numFmtId="164" fontId="11" fillId="2" borderId="52" xfId="0" applyNumberFormat="1" applyFont="1" applyFill="1" applyBorder="1" applyAlignment="1">
      <alignment horizontal="center"/>
    </xf>
    <xf numFmtId="14" fontId="11" fillId="0" borderId="52" xfId="0" applyNumberFormat="1" applyFont="1" applyBorder="1" applyAlignment="1">
      <alignment horizontal="left" vertical="center"/>
    </xf>
    <xf numFmtId="0" fontId="13" fillId="2" borderId="56" xfId="0" applyFont="1" applyFill="1" applyBorder="1" applyAlignment="1">
      <alignment horizontal="left" vertical="center"/>
    </xf>
    <xf numFmtId="14" fontId="13" fillId="2" borderId="52" xfId="0" applyNumberFormat="1" applyFont="1" applyFill="1" applyBorder="1" applyAlignment="1">
      <alignment horizontal="center" vertical="center"/>
    </xf>
    <xf numFmtId="14" fontId="13" fillId="0" borderId="52" xfId="0" applyNumberFormat="1" applyFont="1" applyBorder="1" applyAlignment="1">
      <alignment horizontal="left" vertical="center"/>
    </xf>
    <xf numFmtId="164" fontId="13" fillId="2" borderId="52" xfId="0" applyNumberFormat="1" applyFont="1" applyFill="1" applyBorder="1" applyAlignment="1">
      <alignment horizontal="center"/>
    </xf>
    <xf numFmtId="0" fontId="13" fillId="2" borderId="52" xfId="0" applyFont="1" applyFill="1" applyBorder="1" applyAlignment="1">
      <alignment horizontal="center"/>
    </xf>
    <xf numFmtId="0" fontId="13" fillId="2" borderId="57" xfId="0" applyFont="1" applyFill="1" applyBorder="1" applyAlignment="1">
      <alignment horizontal="center"/>
    </xf>
    <xf numFmtId="0" fontId="11" fillId="2" borderId="58" xfId="0" applyFont="1" applyFill="1" applyBorder="1" applyAlignment="1">
      <alignment horizontal="left" vertical="center"/>
    </xf>
    <xf numFmtId="14" fontId="11" fillId="2" borderId="59" xfId="0" applyNumberFormat="1" applyFont="1" applyFill="1" applyBorder="1" applyAlignment="1">
      <alignment horizontal="left" vertical="center"/>
    </xf>
    <xf numFmtId="0" fontId="11" fillId="2" borderId="59" xfId="0" applyFont="1" applyFill="1" applyBorder="1" applyAlignment="1">
      <alignment horizontal="center" vertical="center"/>
    </xf>
    <xf numFmtId="164" fontId="11" fillId="2" borderId="59" xfId="0" applyNumberFormat="1" applyFont="1" applyFill="1" applyBorder="1" applyAlignment="1">
      <alignment horizontal="center"/>
    </xf>
    <xf numFmtId="0" fontId="11" fillId="2" borderId="60" xfId="0" applyFont="1" applyFill="1" applyBorder="1" applyAlignment="1">
      <alignment horizontal="center" vertical="center"/>
    </xf>
    <xf numFmtId="14" fontId="6" fillId="2" borderId="52" xfId="0" applyNumberFormat="1" applyFont="1" applyFill="1" applyBorder="1" applyAlignment="1">
      <alignment horizontal="center" vertical="center"/>
    </xf>
    <xf numFmtId="164" fontId="6" fillId="2" borderId="52" xfId="0" applyNumberFormat="1" applyFont="1" applyFill="1" applyBorder="1" applyAlignment="1">
      <alignment horizontal="center"/>
    </xf>
    <xf numFmtId="0" fontId="6" fillId="2" borderId="52" xfId="0" applyFont="1" applyFill="1" applyBorder="1" applyAlignment="1">
      <alignment horizontal="center"/>
    </xf>
    <xf numFmtId="14" fontId="6" fillId="4" borderId="52" xfId="0" applyNumberFormat="1" applyFont="1" applyFill="1" applyBorder="1" applyAlignment="1">
      <alignment horizontal="left" vertical="center"/>
    </xf>
    <xf numFmtId="2" fontId="6" fillId="2" borderId="52" xfId="0" applyNumberFormat="1" applyFont="1" applyFill="1" applyBorder="1" applyAlignment="1">
      <alignment horizontal="center"/>
    </xf>
    <xf numFmtId="0" fontId="2" fillId="2" borderId="61" xfId="0" applyFont="1" applyFill="1" applyBorder="1" applyAlignment="1">
      <alignment horizontal="center" wrapText="1"/>
    </xf>
    <xf numFmtId="0" fontId="2" fillId="2" borderId="62" xfId="0" applyFont="1" applyFill="1" applyBorder="1" applyAlignment="1">
      <alignment horizontal="center" wrapText="1"/>
    </xf>
    <xf numFmtId="0" fontId="11" fillId="2" borderId="56" xfId="0" applyFont="1" applyFill="1" applyBorder="1" applyAlignment="1">
      <alignment horizontal="left" vertical="center"/>
    </xf>
    <xf numFmtId="164" fontId="15" fillId="5" borderId="52" xfId="0" applyNumberFormat="1" applyFont="1" applyFill="1" applyBorder="1" applyAlignment="1">
      <alignment horizontal="center"/>
    </xf>
    <xf numFmtId="164" fontId="15" fillId="2" borderId="52" xfId="0" applyNumberFormat="1" applyFont="1" applyFill="1" applyBorder="1" applyAlignment="1">
      <alignment horizontal="center"/>
    </xf>
    <xf numFmtId="1" fontId="15" fillId="5" borderId="52" xfId="0" applyNumberFormat="1" applyFont="1" applyFill="1" applyBorder="1" applyAlignment="1">
      <alignment horizontal="center"/>
    </xf>
    <xf numFmtId="0" fontId="11" fillId="2" borderId="52" xfId="0" applyFont="1" applyFill="1" applyBorder="1" applyAlignment="1">
      <alignment horizontal="center"/>
    </xf>
    <xf numFmtId="2" fontId="11" fillId="2" borderId="59" xfId="0" applyNumberFormat="1" applyFont="1" applyFill="1" applyBorder="1" applyAlignment="1">
      <alignment horizontal="center" vertical="center"/>
    </xf>
    <xf numFmtId="14" fontId="6" fillId="2" borderId="56" xfId="0" applyNumberFormat="1" applyFont="1" applyFill="1" applyBorder="1" applyAlignment="1">
      <alignment horizontal="left" vertical="center"/>
    </xf>
    <xf numFmtId="0" fontId="15" fillId="5" borderId="52" xfId="0" applyFont="1" applyFill="1" applyBorder="1" applyAlignment="1">
      <alignment horizontal="center"/>
    </xf>
    <xf numFmtId="0" fontId="15" fillId="2" borderId="52" xfId="0" applyFont="1" applyFill="1" applyBorder="1" applyAlignment="1">
      <alignment horizontal="center"/>
    </xf>
    <xf numFmtId="2" fontId="15" fillId="2" borderId="52" xfId="0" applyNumberFormat="1" applyFont="1" applyFill="1" applyBorder="1" applyAlignment="1">
      <alignment horizontal="center"/>
    </xf>
    <xf numFmtId="0" fontId="15" fillId="5" borderId="57" xfId="0" applyFont="1" applyFill="1" applyBorder="1" applyAlignment="1">
      <alignment horizontal="center"/>
    </xf>
    <xf numFmtId="0" fontId="15" fillId="2" borderId="57" xfId="0" applyFont="1" applyFill="1" applyBorder="1" applyAlignment="1">
      <alignment horizontal="center"/>
    </xf>
    <xf numFmtId="0" fontId="2" fillId="2" borderId="63" xfId="0" applyFont="1" applyFill="1" applyBorder="1" applyAlignment="1">
      <alignment horizontal="center" wrapText="1"/>
    </xf>
    <xf numFmtId="0" fontId="4" fillId="2" borderId="64" xfId="0" applyFont="1" applyFill="1" applyBorder="1"/>
    <xf numFmtId="0" fontId="4" fillId="2" borderId="65" xfId="0" applyFont="1" applyFill="1" applyBorder="1"/>
    <xf numFmtId="0" fontId="4" fillId="2" borderId="66" xfId="0" applyFont="1" applyFill="1" applyBorder="1"/>
    <xf numFmtId="0" fontId="4" fillId="2" borderId="67" xfId="0" applyFont="1" applyFill="1" applyBorder="1" applyAlignment="1">
      <alignment horizontal="left"/>
    </xf>
    <xf numFmtId="0" fontId="4" fillId="2" borderId="68" xfId="0" applyFont="1" applyFill="1" applyBorder="1"/>
    <xf numFmtId="0" fontId="4" fillId="2" borderId="69" xfId="0" applyFont="1" applyFill="1" applyBorder="1" applyAlignment="1">
      <alignment horizontal="left"/>
    </xf>
    <xf numFmtId="0" fontId="4" fillId="2" borderId="70" xfId="0" applyFont="1" applyFill="1" applyBorder="1"/>
    <xf numFmtId="0" fontId="4" fillId="2" borderId="71" xfId="0" applyFont="1" applyFill="1" applyBorder="1" applyAlignment="1">
      <alignment horizontal="left"/>
    </xf>
    <xf numFmtId="0" fontId="4" fillId="2" borderId="47" xfId="0" applyFont="1" applyFill="1" applyBorder="1"/>
    <xf numFmtId="0" fontId="4" fillId="2" borderId="72" xfId="0" applyFont="1" applyFill="1" applyBorder="1"/>
    <xf numFmtId="0" fontId="4" fillId="2" borderId="73" xfId="0" applyFont="1" applyFill="1" applyBorder="1" applyAlignment="1">
      <alignment horizontal="left"/>
    </xf>
    <xf numFmtId="0" fontId="4" fillId="2" borderId="51" xfId="0" applyFont="1" applyFill="1" applyBorder="1" applyAlignment="1">
      <alignment wrapText="1"/>
    </xf>
    <xf numFmtId="1" fontId="5" fillId="6" borderId="23" xfId="0" applyNumberFormat="1" applyFont="1" applyFill="1" applyBorder="1" applyAlignment="1">
      <alignment horizontal="center"/>
    </xf>
    <xf numFmtId="0" fontId="4" fillId="2" borderId="67" xfId="0" applyFont="1" applyFill="1" applyBorder="1"/>
    <xf numFmtId="0" fontId="2" fillId="2" borderId="48" xfId="0" applyFont="1" applyFill="1" applyBorder="1" applyAlignment="1">
      <alignment horizontal="center" wrapText="1"/>
    </xf>
    <xf numFmtId="0" fontId="2" fillId="2" borderId="50" xfId="0" applyFont="1" applyFill="1" applyBorder="1" applyAlignment="1">
      <alignment horizontal="center" wrapText="1"/>
    </xf>
    <xf numFmtId="0" fontId="13" fillId="2" borderId="52" xfId="0" applyFont="1" applyFill="1" applyBorder="1" applyAlignment="1">
      <alignment horizontal="left" vertical="center"/>
    </xf>
    <xf numFmtId="0" fontId="11" fillId="2" borderId="52" xfId="0" applyFont="1" applyFill="1" applyBorder="1" applyAlignment="1">
      <alignment horizontal="left" vertical="center"/>
    </xf>
    <xf numFmtId="1" fontId="11" fillId="2" borderId="52" xfId="0" applyNumberFormat="1" applyFont="1" applyFill="1" applyBorder="1" applyAlignment="1">
      <alignment horizontal="center"/>
    </xf>
    <xf numFmtId="0" fontId="11" fillId="0" borderId="52" xfId="0" applyFont="1" applyBorder="1" applyAlignment="1">
      <alignment horizontal="center"/>
    </xf>
    <xf numFmtId="164" fontId="11" fillId="0" borderId="52" xfId="0" applyNumberFormat="1" applyFont="1" applyBorder="1" applyAlignment="1">
      <alignment horizontal="center"/>
    </xf>
    <xf numFmtId="1" fontId="11" fillId="0" borderId="52" xfId="0" applyNumberFormat="1" applyFont="1" applyBorder="1" applyAlignment="1">
      <alignment horizontal="center"/>
    </xf>
    <xf numFmtId="14" fontId="11" fillId="0" borderId="52" xfId="0" applyNumberFormat="1" applyFont="1" applyBorder="1" applyAlignment="1">
      <alignment horizontal="center" vertical="center"/>
    </xf>
    <xf numFmtId="14" fontId="11" fillId="2" borderId="52" xfId="0" applyNumberFormat="1" applyFont="1" applyFill="1" applyBorder="1" applyAlignment="1">
      <alignment horizontal="left" vertical="center"/>
    </xf>
    <xf numFmtId="0" fontId="11" fillId="2" borderId="52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wrapText="1"/>
    </xf>
    <xf numFmtId="0" fontId="4" fillId="2" borderId="52" xfId="0" applyFont="1" applyFill="1" applyBorder="1"/>
    <xf numFmtId="0" fontId="4" fillId="2" borderId="52" xfId="0" applyFont="1" applyFill="1" applyBorder="1" applyAlignment="1">
      <alignment horizontal="left"/>
    </xf>
    <xf numFmtId="0" fontId="4" fillId="0" borderId="52" xfId="0" applyFont="1" applyBorder="1"/>
    <xf numFmtId="0" fontId="4" fillId="0" borderId="52" xfId="0" applyFont="1" applyBorder="1" applyAlignment="1">
      <alignment horizontal="right"/>
    </xf>
    <xf numFmtId="0" fontId="4" fillId="3" borderId="52" xfId="0" applyFont="1" applyFill="1" applyBorder="1"/>
    <xf numFmtId="0" fontId="4" fillId="3" borderId="52" xfId="0" applyFont="1" applyFill="1" applyBorder="1" applyAlignment="1">
      <alignment horizontal="right"/>
    </xf>
    <xf numFmtId="0" fontId="4" fillId="4" borderId="0" xfId="0" applyFont="1" applyFill="1" applyAlignment="1">
      <alignment horizontal="left"/>
    </xf>
    <xf numFmtId="0" fontId="4" fillId="4" borderId="0" xfId="0" applyFont="1" applyFill="1"/>
    <xf numFmtId="0" fontId="2" fillId="2" borderId="64" xfId="0" applyFont="1" applyFill="1" applyBorder="1" applyAlignment="1">
      <alignment horizontal="center" wrapText="1"/>
    </xf>
    <xf numFmtId="0" fontId="2" fillId="2" borderId="65" xfId="0" applyFont="1" applyFill="1" applyBorder="1" applyAlignment="1">
      <alignment horizontal="center" wrapText="1"/>
    </xf>
    <xf numFmtId="0" fontId="2" fillId="2" borderId="66" xfId="0" applyFont="1" applyFill="1" applyBorder="1" applyAlignment="1">
      <alignment horizontal="center" wrapText="1"/>
    </xf>
    <xf numFmtId="0" fontId="17" fillId="0" borderId="7" xfId="0" applyFont="1" applyBorder="1"/>
    <xf numFmtId="0" fontId="17" fillId="0" borderId="8" xfId="0" applyFont="1" applyBorder="1"/>
    <xf numFmtId="14" fontId="17" fillId="0" borderId="9" xfId="0" applyNumberFormat="1" applyFont="1" applyBorder="1"/>
    <xf numFmtId="0" fontId="14" fillId="0" borderId="10" xfId="0" applyFont="1" applyBorder="1" applyAlignment="1">
      <alignment horizontal="center" wrapText="1"/>
    </xf>
    <xf numFmtId="14" fontId="14" fillId="0" borderId="11" xfId="0" applyNumberFormat="1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164" fontId="14" fillId="0" borderId="12" xfId="0" applyNumberFormat="1" applyFont="1" applyBorder="1" applyAlignment="1">
      <alignment horizontal="center"/>
    </xf>
    <xf numFmtId="0" fontId="14" fillId="0" borderId="10" xfId="0" applyFont="1" applyBorder="1" applyAlignment="1">
      <alignment horizontal="left"/>
    </xf>
    <xf numFmtId="0" fontId="16" fillId="0" borderId="11" xfId="0" applyFont="1" applyBorder="1" applyAlignment="1">
      <alignment horizontal="center"/>
    </xf>
    <xf numFmtId="1" fontId="16" fillId="0" borderId="11" xfId="0" applyNumberFormat="1" applyFont="1" applyBorder="1" applyAlignment="1">
      <alignment horizontal="center"/>
    </xf>
    <xf numFmtId="2" fontId="16" fillId="0" borderId="11" xfId="0" applyNumberFormat="1" applyFont="1" applyBorder="1" applyAlignment="1">
      <alignment horizontal="center"/>
    </xf>
    <xf numFmtId="0" fontId="14" fillId="0" borderId="15" xfId="0" applyFont="1" applyBorder="1" applyAlignment="1">
      <alignment horizontal="left" wrapText="1"/>
    </xf>
    <xf numFmtId="14" fontId="11" fillId="2" borderId="11" xfId="0" applyNumberFormat="1" applyFont="1" applyFill="1" applyBorder="1" applyAlignment="1">
      <alignment horizontal="center" vertical="center"/>
    </xf>
    <xf numFmtId="164" fontId="11" fillId="2" borderId="11" xfId="0" applyNumberFormat="1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1" fontId="11" fillId="2" borderId="11" xfId="0" applyNumberFormat="1" applyFont="1" applyFill="1" applyBorder="1" applyAlignment="1">
      <alignment horizontal="center"/>
    </xf>
    <xf numFmtId="0" fontId="16" fillId="2" borderId="4" xfId="0" applyFont="1" applyFill="1" applyBorder="1"/>
    <xf numFmtId="0" fontId="1" fillId="4" borderId="0" xfId="0" applyFont="1" applyFill="1"/>
    <xf numFmtId="14" fontId="19" fillId="2" borderId="5" xfId="0" applyNumberFormat="1" applyFont="1" applyFill="1" applyBorder="1" applyAlignment="1">
      <alignment horizontal="center"/>
    </xf>
    <xf numFmtId="14" fontId="19" fillId="2" borderId="4" xfId="0" applyNumberFormat="1" applyFont="1" applyFill="1" applyBorder="1" applyAlignment="1">
      <alignment horizontal="center"/>
    </xf>
    <xf numFmtId="14" fontId="19" fillId="2" borderId="6" xfId="0" applyNumberFormat="1" applyFont="1" applyFill="1" applyBorder="1" applyAlignment="1">
      <alignment horizontal="center"/>
    </xf>
    <xf numFmtId="0" fontId="19" fillId="2" borderId="48" xfId="0" applyFont="1" applyFill="1" applyBorder="1" applyAlignment="1">
      <alignment horizontal="center" wrapText="1"/>
    </xf>
    <xf numFmtId="0" fontId="19" fillId="2" borderId="49" xfId="0" applyFont="1" applyFill="1" applyBorder="1" applyAlignment="1">
      <alignment horizontal="center" wrapText="1"/>
    </xf>
    <xf numFmtId="0" fontId="14" fillId="2" borderId="50" xfId="0" applyFont="1" applyFill="1" applyBorder="1" applyAlignment="1">
      <alignment horizontal="center" wrapText="1"/>
    </xf>
    <xf numFmtId="0" fontId="16" fillId="2" borderId="4" xfId="0" applyFont="1" applyFill="1" applyBorder="1" applyAlignment="1">
      <alignment wrapText="1"/>
    </xf>
    <xf numFmtId="0" fontId="16" fillId="2" borderId="11" xfId="0" applyFont="1" applyFill="1" applyBorder="1"/>
    <xf numFmtId="0" fontId="16" fillId="2" borderId="38" xfId="0" applyFont="1" applyFill="1" applyBorder="1"/>
    <xf numFmtId="0" fontId="16" fillId="2" borderId="36" xfId="0" applyFont="1" applyFill="1" applyBorder="1"/>
    <xf numFmtId="0" fontId="16" fillId="2" borderId="51" xfId="0" applyFont="1" applyFill="1" applyBorder="1"/>
    <xf numFmtId="0" fontId="16" fillId="4" borderId="51" xfId="0" applyFont="1" applyFill="1" applyBorder="1"/>
    <xf numFmtId="0" fontId="16" fillId="2" borderId="64" xfId="0" applyFont="1" applyFill="1" applyBorder="1"/>
    <xf numFmtId="0" fontId="16" fillId="2" borderId="65" xfId="0" applyFont="1" applyFill="1" applyBorder="1"/>
    <xf numFmtId="0" fontId="16" fillId="2" borderId="66" xfId="0" applyFont="1" applyFill="1" applyBorder="1"/>
    <xf numFmtId="0" fontId="16" fillId="2" borderId="67" xfId="0" applyFont="1" applyFill="1" applyBorder="1" applyAlignment="1">
      <alignment horizontal="left"/>
    </xf>
    <xf numFmtId="0" fontId="16" fillId="2" borderId="68" xfId="0" applyFont="1" applyFill="1" applyBorder="1"/>
    <xf numFmtId="0" fontId="16" fillId="2" borderId="73" xfId="0" applyFont="1" applyFill="1" applyBorder="1" applyAlignment="1">
      <alignment horizontal="left"/>
    </xf>
    <xf numFmtId="0" fontId="14" fillId="2" borderId="52" xfId="0" applyFont="1" applyFill="1" applyBorder="1" applyAlignment="1">
      <alignment horizontal="left" wrapText="1"/>
    </xf>
    <xf numFmtId="0" fontId="14" fillId="2" borderId="52" xfId="0" applyFont="1" applyFill="1" applyBorder="1" applyAlignment="1">
      <alignment horizontal="center" wrapText="1"/>
    </xf>
    <xf numFmtId="14" fontId="14" fillId="2" borderId="5" xfId="0" applyNumberFormat="1" applyFont="1" applyFill="1" applyBorder="1" applyAlignment="1">
      <alignment horizontal="left"/>
    </xf>
    <xf numFmtId="14" fontId="14" fillId="2" borderId="4" xfId="0" applyNumberFormat="1" applyFont="1" applyFill="1" applyBorder="1" applyAlignment="1">
      <alignment horizontal="center"/>
    </xf>
    <xf numFmtId="14" fontId="14" fillId="2" borderId="6" xfId="0" applyNumberFormat="1" applyFont="1" applyFill="1" applyBorder="1" applyAlignment="1">
      <alignment horizontal="center"/>
    </xf>
    <xf numFmtId="0" fontId="16" fillId="2" borderId="11" xfId="0" applyFont="1" applyFill="1" applyBorder="1" applyAlignment="1">
      <alignment horizontal="left"/>
    </xf>
    <xf numFmtId="0" fontId="16" fillId="4" borderId="0" xfId="0" applyFont="1" applyFill="1"/>
    <xf numFmtId="0" fontId="16" fillId="2" borderId="52" xfId="0" applyFont="1" applyFill="1" applyBorder="1"/>
    <xf numFmtId="0" fontId="16" fillId="2" borderId="52" xfId="0" applyFont="1" applyFill="1" applyBorder="1" applyAlignment="1">
      <alignment horizontal="left"/>
    </xf>
    <xf numFmtId="0" fontId="16" fillId="4" borderId="52" xfId="0" applyFont="1" applyFill="1" applyBorder="1" applyAlignment="1">
      <alignment horizontal="left"/>
    </xf>
    <xf numFmtId="0" fontId="16" fillId="4" borderId="52" xfId="0" applyFont="1" applyFill="1" applyBorder="1"/>
    <xf numFmtId="0" fontId="16" fillId="2" borderId="0" xfId="0" applyFont="1" applyFill="1" applyAlignment="1">
      <alignment horizontal="left"/>
    </xf>
    <xf numFmtId="0" fontId="16" fillId="2" borderId="0" xfId="0" applyFont="1" applyFill="1"/>
    <xf numFmtId="0" fontId="3" fillId="0" borderId="13" xfId="0" applyFont="1" applyBorder="1"/>
    <xf numFmtId="0" fontId="4" fillId="2" borderId="74" xfId="0" applyFont="1" applyFill="1" applyBorder="1"/>
    <xf numFmtId="0" fontId="3" fillId="4" borderId="75" xfId="0" applyFont="1" applyFill="1" applyBorder="1"/>
    <xf numFmtId="0" fontId="3" fillId="0" borderId="75" xfId="0" applyFont="1" applyBorder="1"/>
    <xf numFmtId="0" fontId="4" fillId="2" borderId="14" xfId="0" applyFont="1" applyFill="1" applyBorder="1"/>
    <xf numFmtId="0" fontId="3" fillId="0" borderId="52" xfId="0" applyFont="1" applyBorder="1"/>
    <xf numFmtId="0" fontId="3" fillId="4" borderId="13" xfId="0" applyFont="1" applyFill="1" applyBorder="1"/>
    <xf numFmtId="0" fontId="16" fillId="2" borderId="79" xfId="0" applyFont="1" applyFill="1" applyBorder="1"/>
    <xf numFmtId="0" fontId="18" fillId="4" borderId="80" xfId="0" applyFont="1" applyFill="1" applyBorder="1"/>
    <xf numFmtId="0" fontId="4" fillId="2" borderId="25" xfId="0" applyFont="1" applyFill="1" applyBorder="1"/>
    <xf numFmtId="0" fontId="3" fillId="0" borderId="46" xfId="0" applyFont="1" applyBorder="1"/>
    <xf numFmtId="0" fontId="18" fillId="4" borderId="52" xfId="0" applyFont="1" applyFill="1" applyBorder="1"/>
    <xf numFmtId="0" fontId="16" fillId="2" borderId="14" xfId="0" applyFont="1" applyFill="1" applyBorder="1"/>
    <xf numFmtId="0" fontId="18" fillId="4" borderId="13" xfId="0" applyFont="1" applyFill="1" applyBorder="1"/>
    <xf numFmtId="0" fontId="11" fillId="5" borderId="56" xfId="0" applyFont="1" applyFill="1" applyBorder="1" applyAlignment="1">
      <alignment horizontal="left" vertical="center"/>
    </xf>
    <xf numFmtId="14" fontId="11" fillId="5" borderId="52" xfId="0" applyNumberFormat="1" applyFont="1" applyFill="1" applyBorder="1" applyAlignment="1">
      <alignment horizontal="center" vertical="center"/>
    </xf>
    <xf numFmtId="164" fontId="11" fillId="5" borderId="52" xfId="0" applyNumberFormat="1" applyFont="1" applyFill="1" applyBorder="1" applyAlignment="1">
      <alignment horizontal="center"/>
    </xf>
    <xf numFmtId="0" fontId="11" fillId="2" borderId="57" xfId="0" applyFont="1" applyFill="1" applyBorder="1" applyAlignment="1">
      <alignment horizontal="center"/>
    </xf>
    <xf numFmtId="14" fontId="11" fillId="4" borderId="52" xfId="0" applyNumberFormat="1" applyFont="1" applyFill="1" applyBorder="1" applyAlignment="1">
      <alignment horizontal="left" vertical="center"/>
    </xf>
    <xf numFmtId="14" fontId="21" fillId="2" borderId="56" xfId="0" applyNumberFormat="1" applyFont="1" applyFill="1" applyBorder="1" applyAlignment="1">
      <alignment horizontal="left" vertical="center"/>
    </xf>
    <xf numFmtId="14" fontId="21" fillId="2" borderId="52" xfId="0" applyNumberFormat="1" applyFont="1" applyFill="1" applyBorder="1" applyAlignment="1">
      <alignment horizontal="center" vertical="center"/>
    </xf>
    <xf numFmtId="164" fontId="21" fillId="2" borderId="52" xfId="0" applyNumberFormat="1" applyFont="1" applyFill="1" applyBorder="1" applyAlignment="1">
      <alignment horizontal="center"/>
    </xf>
    <xf numFmtId="2" fontId="21" fillId="2" borderId="52" xfId="0" applyNumberFormat="1" applyFont="1" applyFill="1" applyBorder="1" applyAlignment="1">
      <alignment horizontal="center"/>
    </xf>
    <xf numFmtId="0" fontId="21" fillId="2" borderId="52" xfId="0" applyFont="1" applyFill="1" applyBorder="1" applyAlignment="1">
      <alignment horizontal="center"/>
    </xf>
    <xf numFmtId="0" fontId="20" fillId="0" borderId="57" xfId="0" applyFont="1" applyBorder="1" applyAlignment="1">
      <alignment horizontal="center"/>
    </xf>
    <xf numFmtId="0" fontId="21" fillId="5" borderId="56" xfId="0" applyFont="1" applyFill="1" applyBorder="1" applyAlignment="1">
      <alignment horizontal="left" vertical="center"/>
    </xf>
    <xf numFmtId="14" fontId="21" fillId="5" borderId="52" xfId="0" applyNumberFormat="1" applyFont="1" applyFill="1" applyBorder="1" applyAlignment="1">
      <alignment horizontal="center" vertical="center"/>
    </xf>
    <xf numFmtId="14" fontId="21" fillId="5" borderId="52" xfId="0" applyNumberFormat="1" applyFont="1" applyFill="1" applyBorder="1" applyAlignment="1">
      <alignment horizontal="left" vertical="center"/>
    </xf>
    <xf numFmtId="0" fontId="21" fillId="5" borderId="52" xfId="0" applyFont="1" applyFill="1" applyBorder="1" applyAlignment="1">
      <alignment horizontal="center" vertical="center"/>
    </xf>
    <xf numFmtId="164" fontId="21" fillId="5" borderId="52" xfId="0" applyNumberFormat="1" applyFont="1" applyFill="1" applyBorder="1" applyAlignment="1">
      <alignment horizontal="center" vertical="center"/>
    </xf>
    <xf numFmtId="14" fontId="21" fillId="5" borderId="57" xfId="0" applyNumberFormat="1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/>
    </xf>
    <xf numFmtId="0" fontId="21" fillId="4" borderId="52" xfId="0" applyFont="1" applyFill="1" applyBorder="1" applyAlignment="1">
      <alignment horizontal="center"/>
    </xf>
    <xf numFmtId="0" fontId="20" fillId="5" borderId="52" xfId="0" applyFont="1" applyFill="1" applyBorder="1" applyAlignment="1">
      <alignment horizontal="center"/>
    </xf>
    <xf numFmtId="0" fontId="21" fillId="5" borderId="52" xfId="0" applyFont="1" applyFill="1" applyBorder="1" applyAlignment="1">
      <alignment horizontal="center"/>
    </xf>
    <xf numFmtId="164" fontId="21" fillId="5" borderId="52" xfId="0" applyNumberFormat="1" applyFont="1" applyFill="1" applyBorder="1" applyAlignment="1">
      <alignment horizontal="center"/>
    </xf>
    <xf numFmtId="1" fontId="21" fillId="5" borderId="52" xfId="0" applyNumberFormat="1" applyFont="1" applyFill="1" applyBorder="1" applyAlignment="1">
      <alignment horizontal="center"/>
    </xf>
    <xf numFmtId="0" fontId="21" fillId="5" borderId="57" xfId="0" applyFont="1" applyFill="1" applyBorder="1" applyAlignment="1">
      <alignment horizontal="center"/>
    </xf>
    <xf numFmtId="0" fontId="21" fillId="2" borderId="57" xfId="0" applyFont="1" applyFill="1" applyBorder="1" applyAlignment="1">
      <alignment horizontal="center"/>
    </xf>
    <xf numFmtId="1" fontId="21" fillId="2" borderId="52" xfId="0" applyNumberFormat="1" applyFont="1" applyFill="1" applyBorder="1" applyAlignment="1">
      <alignment horizontal="center"/>
    </xf>
    <xf numFmtId="0" fontId="21" fillId="2" borderId="58" xfId="0" applyFont="1" applyFill="1" applyBorder="1" applyAlignment="1">
      <alignment horizontal="left" vertical="center"/>
    </xf>
    <xf numFmtId="14" fontId="21" fillId="2" borderId="59" xfId="0" applyNumberFormat="1" applyFont="1" applyFill="1" applyBorder="1" applyAlignment="1">
      <alignment horizontal="center" vertical="center"/>
    </xf>
    <xf numFmtId="14" fontId="21" fillId="4" borderId="59" xfId="0" applyNumberFormat="1" applyFont="1" applyFill="1" applyBorder="1" applyAlignment="1">
      <alignment horizontal="left" vertical="center"/>
    </xf>
    <xf numFmtId="164" fontId="21" fillId="2" borderId="59" xfId="0" applyNumberFormat="1" applyFont="1" applyFill="1" applyBorder="1" applyAlignment="1">
      <alignment horizontal="center"/>
    </xf>
    <xf numFmtId="0" fontId="21" fillId="2" borderId="59" xfId="0" applyFont="1" applyFill="1" applyBorder="1" applyAlignment="1">
      <alignment horizontal="center"/>
    </xf>
    <xf numFmtId="1" fontId="21" fillId="2" borderId="59" xfId="0" applyNumberFormat="1" applyFont="1" applyFill="1" applyBorder="1" applyAlignment="1">
      <alignment horizontal="center"/>
    </xf>
    <xf numFmtId="0" fontId="21" fillId="2" borderId="60" xfId="0" applyFont="1" applyFill="1" applyBorder="1" applyAlignment="1">
      <alignment horizontal="center"/>
    </xf>
    <xf numFmtId="0" fontId="15" fillId="2" borderId="56" xfId="0" applyFont="1" applyFill="1" applyBorder="1" applyAlignment="1">
      <alignment horizontal="left" vertical="center"/>
    </xf>
    <xf numFmtId="14" fontId="15" fillId="2" borderId="52" xfId="0" applyNumberFormat="1" applyFont="1" applyFill="1" applyBorder="1" applyAlignment="1">
      <alignment horizontal="center" vertical="center"/>
    </xf>
    <xf numFmtId="0" fontId="15" fillId="5" borderId="56" xfId="0" applyFont="1" applyFill="1" applyBorder="1" applyAlignment="1">
      <alignment horizontal="left" vertical="center"/>
    </xf>
    <xf numFmtId="14" fontId="15" fillId="5" borderId="52" xfId="0" applyNumberFormat="1" applyFont="1" applyFill="1" applyBorder="1" applyAlignment="1">
      <alignment horizontal="center" vertical="center"/>
    </xf>
    <xf numFmtId="0" fontId="22" fillId="5" borderId="52" xfId="0" applyFont="1" applyFill="1" applyBorder="1" applyAlignment="1">
      <alignment horizontal="center"/>
    </xf>
    <xf numFmtId="1" fontId="15" fillId="2" borderId="52" xfId="0" applyNumberFormat="1" applyFont="1" applyFill="1" applyBorder="1" applyAlignment="1">
      <alignment horizontal="center"/>
    </xf>
    <xf numFmtId="14" fontId="13" fillId="2" borderId="52" xfId="0" applyNumberFormat="1" applyFont="1" applyFill="1" applyBorder="1" applyAlignment="1">
      <alignment horizontal="left" vertical="center"/>
    </xf>
    <xf numFmtId="0" fontId="13" fillId="2" borderId="52" xfId="0" applyFont="1" applyFill="1" applyBorder="1" applyAlignment="1">
      <alignment horizontal="center" vertical="center"/>
    </xf>
    <xf numFmtId="14" fontId="23" fillId="4" borderId="52" xfId="0" applyNumberFormat="1" applyFont="1" applyFill="1" applyBorder="1" applyAlignment="1">
      <alignment horizontal="center"/>
    </xf>
    <xf numFmtId="14" fontId="23" fillId="0" borderId="52" xfId="0" applyNumberFormat="1" applyFont="1" applyBorder="1" applyAlignment="1">
      <alignment horizontal="center"/>
    </xf>
    <xf numFmtId="14" fontId="15" fillId="0" borderId="52" xfId="0" applyNumberFormat="1" applyFont="1" applyBorder="1" applyAlignment="1">
      <alignment horizontal="center"/>
    </xf>
    <xf numFmtId="14" fontId="20" fillId="0" borderId="52" xfId="0" applyNumberFormat="1" applyFont="1" applyBorder="1" applyAlignment="1">
      <alignment horizontal="center"/>
    </xf>
    <xf numFmtId="14" fontId="24" fillId="0" borderId="52" xfId="0" applyNumberFormat="1" applyFont="1" applyBorder="1" applyAlignment="1">
      <alignment horizontal="center"/>
    </xf>
    <xf numFmtId="14" fontId="21" fillId="0" borderId="52" xfId="0" applyNumberFormat="1" applyFont="1" applyBorder="1" applyAlignment="1">
      <alignment horizontal="center"/>
    </xf>
    <xf numFmtId="14" fontId="25" fillId="0" borderId="52" xfId="0" applyNumberFormat="1" applyFont="1" applyBorder="1" applyAlignment="1">
      <alignment horizontal="center"/>
    </xf>
    <xf numFmtId="0" fontId="21" fillId="0" borderId="52" xfId="0" applyFont="1" applyBorder="1" applyAlignment="1">
      <alignment horizontal="left" vertical="center"/>
    </xf>
    <xf numFmtId="164" fontId="21" fillId="0" borderId="52" xfId="0" applyNumberFormat="1" applyFont="1" applyBorder="1" applyAlignment="1">
      <alignment horizontal="center"/>
    </xf>
    <xf numFmtId="1" fontId="21" fillId="0" borderId="52" xfId="0" applyNumberFormat="1" applyFont="1" applyBorder="1" applyAlignment="1">
      <alignment horizontal="center"/>
    </xf>
    <xf numFmtId="0" fontId="21" fillId="0" borderId="52" xfId="0" applyFont="1" applyBorder="1" applyAlignment="1">
      <alignment horizontal="center"/>
    </xf>
    <xf numFmtId="0" fontId="21" fillId="2" borderId="52" xfId="0" applyFont="1" applyFill="1" applyBorder="1" applyAlignment="1">
      <alignment horizontal="left" vertical="center"/>
    </xf>
    <xf numFmtId="14" fontId="26" fillId="0" borderId="52" xfId="0" applyNumberFormat="1" applyFont="1" applyBorder="1" applyAlignment="1">
      <alignment horizontal="center"/>
    </xf>
    <xf numFmtId="14" fontId="11" fillId="0" borderId="52" xfId="0" applyNumberFormat="1" applyFont="1" applyBorder="1" applyAlignment="1">
      <alignment horizontal="center"/>
    </xf>
    <xf numFmtId="0" fontId="20" fillId="0" borderId="52" xfId="0" applyFont="1" applyBorder="1"/>
    <xf numFmtId="0" fontId="12" fillId="0" borderId="52" xfId="0" applyFont="1" applyBorder="1"/>
    <xf numFmtId="0" fontId="26" fillId="0" borderId="52" xfId="0" applyFont="1" applyBorder="1"/>
    <xf numFmtId="0" fontId="11" fillId="0" borderId="52" xfId="0" applyFont="1" applyBorder="1"/>
    <xf numFmtId="164" fontId="11" fillId="2" borderId="52" xfId="0" applyNumberFormat="1" applyFont="1" applyFill="1" applyBorder="1"/>
    <xf numFmtId="164" fontId="11" fillId="5" borderId="52" xfId="0" applyNumberFormat="1" applyFont="1" applyFill="1" applyBorder="1"/>
    <xf numFmtId="164" fontId="11" fillId="2" borderId="52" xfId="0" applyNumberFormat="1" applyFont="1" applyFill="1" applyBorder="1" applyAlignment="1">
      <alignment horizontal="left"/>
    </xf>
    <xf numFmtId="1" fontId="11" fillId="2" borderId="52" xfId="0" applyNumberFormat="1" applyFont="1" applyFill="1" applyBorder="1" applyAlignment="1">
      <alignment horizontal="left"/>
    </xf>
    <xf numFmtId="0" fontId="11" fillId="2" borderId="52" xfId="0" applyFont="1" applyFill="1" applyBorder="1" applyAlignment="1">
      <alignment horizontal="left"/>
    </xf>
    <xf numFmtId="0" fontId="11" fillId="0" borderId="52" xfId="0" applyFont="1" applyBorder="1" applyAlignment="1">
      <alignment horizontal="left"/>
    </xf>
    <xf numFmtId="0" fontId="12" fillId="0" borderId="52" xfId="0" applyFont="1" applyBorder="1" applyAlignment="1">
      <alignment horizontal="center"/>
    </xf>
    <xf numFmtId="0" fontId="12" fillId="0" borderId="52" xfId="0" applyFont="1" applyBorder="1" applyAlignment="1">
      <alignment horizontal="right"/>
    </xf>
    <xf numFmtId="164" fontId="11" fillId="2" borderId="52" xfId="0" applyNumberFormat="1" applyFont="1" applyFill="1" applyBorder="1" applyAlignment="1">
      <alignment horizontal="right"/>
    </xf>
    <xf numFmtId="1" fontId="11" fillId="2" borderId="52" xfId="0" applyNumberFormat="1" applyFont="1" applyFill="1" applyBorder="1" applyAlignment="1">
      <alignment horizontal="right"/>
    </xf>
    <xf numFmtId="0" fontId="24" fillId="0" borderId="52" xfId="0" applyFont="1" applyBorder="1"/>
    <xf numFmtId="164" fontId="21" fillId="2" borderId="52" xfId="0" applyNumberFormat="1" applyFont="1" applyFill="1" applyBorder="1"/>
    <xf numFmtId="0" fontId="24" fillId="0" borderId="52" xfId="0" applyFont="1" applyBorder="1" applyAlignment="1">
      <alignment horizontal="left"/>
    </xf>
    <xf numFmtId="164" fontId="21" fillId="2" borderId="52" xfId="0" applyNumberFormat="1" applyFont="1" applyFill="1" applyBorder="1" applyAlignment="1">
      <alignment horizontal="left"/>
    </xf>
    <xf numFmtId="0" fontId="21" fillId="2" borderId="52" xfId="0" applyFont="1" applyFill="1" applyBorder="1" applyAlignment="1">
      <alignment horizontal="left"/>
    </xf>
    <xf numFmtId="0" fontId="24" fillId="0" borderId="52" xfId="0" applyFont="1" applyBorder="1" applyAlignment="1">
      <alignment horizontal="left" wrapText="1"/>
    </xf>
    <xf numFmtId="0" fontId="20" fillId="0" borderId="52" xfId="0" applyFont="1" applyBorder="1" applyAlignment="1">
      <alignment horizontal="center"/>
    </xf>
    <xf numFmtId="165" fontId="21" fillId="2" borderId="52" xfId="0" applyNumberFormat="1" applyFont="1" applyFill="1" applyBorder="1" applyAlignment="1">
      <alignment horizontal="center"/>
    </xf>
    <xf numFmtId="164" fontId="21" fillId="3" borderId="52" xfId="0" applyNumberFormat="1" applyFont="1" applyFill="1" applyBorder="1" applyAlignment="1">
      <alignment horizontal="center"/>
    </xf>
    <xf numFmtId="1" fontId="21" fillId="3" borderId="52" xfId="0" applyNumberFormat="1" applyFont="1" applyFill="1" applyBorder="1" applyAlignment="1">
      <alignment horizontal="center"/>
    </xf>
    <xf numFmtId="0" fontId="21" fillId="3" borderId="52" xfId="0" applyFont="1" applyFill="1" applyBorder="1" applyAlignment="1">
      <alignment horizontal="center"/>
    </xf>
    <xf numFmtId="0" fontId="26" fillId="0" borderId="52" xfId="0" applyFont="1" applyBorder="1" applyAlignment="1">
      <alignment horizontal="left" wrapText="1"/>
    </xf>
    <xf numFmtId="0" fontId="26" fillId="0" borderId="52" xfId="0" applyFont="1" applyBorder="1" applyAlignment="1">
      <alignment horizontal="left"/>
    </xf>
    <xf numFmtId="164" fontId="11" fillId="3" borderId="52" xfId="0" applyNumberFormat="1" applyFont="1" applyFill="1" applyBorder="1" applyAlignment="1">
      <alignment horizontal="center"/>
    </xf>
    <xf numFmtId="1" fontId="11" fillId="3" borderId="52" xfId="0" applyNumberFormat="1" applyFont="1" applyFill="1" applyBorder="1" applyAlignment="1">
      <alignment horizontal="center"/>
    </xf>
    <xf numFmtId="0" fontId="11" fillId="3" borderId="52" xfId="0" applyFont="1" applyFill="1" applyBorder="1" applyAlignment="1">
      <alignment horizontal="center"/>
    </xf>
    <xf numFmtId="14" fontId="24" fillId="0" borderId="52" xfId="0" applyNumberFormat="1" applyFont="1" applyBorder="1"/>
    <xf numFmtId="14" fontId="11" fillId="0" borderId="52" xfId="0" applyNumberFormat="1" applyFont="1" applyBorder="1"/>
    <xf numFmtId="14" fontId="26" fillId="0" borderId="52" xfId="0" applyNumberFormat="1" applyFont="1" applyBorder="1"/>
    <xf numFmtId="14" fontId="21" fillId="5" borderId="52" xfId="0" applyNumberFormat="1" applyFont="1" applyFill="1" applyBorder="1" applyAlignment="1">
      <alignment vertical="center"/>
    </xf>
    <xf numFmtId="14" fontId="11" fillId="5" borderId="52" xfId="0" applyNumberFormat="1" applyFont="1" applyFill="1" applyBorder="1" applyAlignment="1">
      <alignment vertical="center"/>
    </xf>
    <xf numFmtId="1" fontId="11" fillId="2" borderId="47" xfId="0" applyNumberFormat="1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14" fontId="26" fillId="4" borderId="52" xfId="0" applyNumberFormat="1" applyFont="1" applyFill="1" applyBorder="1" applyAlignment="1">
      <alignment horizontal="center"/>
    </xf>
    <xf numFmtId="164" fontId="11" fillId="6" borderId="13" xfId="0" applyNumberFormat="1" applyFont="1" applyFill="1" applyBorder="1" applyAlignment="1">
      <alignment horizontal="center"/>
    </xf>
    <xf numFmtId="1" fontId="11" fillId="6" borderId="45" xfId="0" applyNumberFormat="1" applyFont="1" applyFill="1" applyBorder="1" applyAlignment="1">
      <alignment horizontal="center"/>
    </xf>
    <xf numFmtId="0" fontId="11" fillId="6" borderId="31" xfId="0" applyFont="1" applyFill="1" applyBorder="1" applyAlignment="1">
      <alignment horizontal="center"/>
    </xf>
    <xf numFmtId="164" fontId="11" fillId="6" borderId="45" xfId="0" applyNumberFormat="1" applyFont="1" applyFill="1" applyBorder="1" applyAlignment="1">
      <alignment horizontal="center"/>
    </xf>
    <xf numFmtId="14" fontId="11" fillId="6" borderId="45" xfId="0" applyNumberFormat="1" applyFont="1" applyFill="1" applyBorder="1" applyAlignment="1">
      <alignment horizontal="center"/>
    </xf>
    <xf numFmtId="0" fontId="11" fillId="6" borderId="45" xfId="0" applyFont="1" applyFill="1" applyBorder="1" applyAlignment="1">
      <alignment horizontal="center"/>
    </xf>
    <xf numFmtId="0" fontId="26" fillId="4" borderId="52" xfId="0" applyFont="1" applyFill="1" applyBorder="1" applyAlignment="1">
      <alignment horizontal="left"/>
    </xf>
    <xf numFmtId="14" fontId="11" fillId="6" borderId="44" xfId="0" applyNumberFormat="1" applyFont="1" applyFill="1" applyBorder="1" applyAlignment="1">
      <alignment horizontal="left"/>
    </xf>
    <xf numFmtId="0" fontId="12" fillId="4" borderId="52" xfId="0" applyFont="1" applyFill="1" applyBorder="1" applyAlignment="1">
      <alignment horizontal="center"/>
    </xf>
    <xf numFmtId="2" fontId="12" fillId="4" borderId="52" xfId="0" applyNumberFormat="1" applyFont="1" applyFill="1" applyBorder="1" applyAlignment="1">
      <alignment horizontal="center"/>
    </xf>
    <xf numFmtId="0" fontId="24" fillId="4" borderId="52" xfId="0" applyFont="1" applyFill="1" applyBorder="1" applyAlignment="1">
      <alignment horizontal="left"/>
    </xf>
    <xf numFmtId="14" fontId="24" fillId="4" borderId="52" xfId="0" applyNumberFormat="1" applyFont="1" applyFill="1" applyBorder="1" applyAlignment="1">
      <alignment horizontal="center"/>
    </xf>
    <xf numFmtId="0" fontId="20" fillId="4" borderId="52" xfId="0" applyFont="1" applyFill="1" applyBorder="1" applyAlignment="1">
      <alignment horizontal="center"/>
    </xf>
    <xf numFmtId="164" fontId="20" fillId="4" borderId="52" xfId="0" applyNumberFormat="1" applyFont="1" applyFill="1" applyBorder="1" applyAlignment="1">
      <alignment horizontal="center"/>
    </xf>
    <xf numFmtId="164" fontId="21" fillId="6" borderId="13" xfId="0" applyNumberFormat="1" applyFont="1" applyFill="1" applyBorder="1" applyAlignment="1">
      <alignment horizontal="center"/>
    </xf>
    <xf numFmtId="1" fontId="21" fillId="2" borderId="47" xfId="0" applyNumberFormat="1" applyFont="1" applyFill="1" applyBorder="1" applyAlignment="1">
      <alignment horizontal="center"/>
    </xf>
    <xf numFmtId="0" fontId="21" fillId="2" borderId="11" xfId="0" applyFont="1" applyFill="1" applyBorder="1" applyAlignment="1">
      <alignment horizontal="center"/>
    </xf>
    <xf numFmtId="164" fontId="21" fillId="5" borderId="11" xfId="0" applyNumberFormat="1" applyFont="1" applyFill="1" applyBorder="1" applyAlignment="1">
      <alignment horizontal="center"/>
    </xf>
    <xf numFmtId="164" fontId="21" fillId="2" borderId="11" xfId="0" applyNumberFormat="1" applyFont="1" applyFill="1" applyBorder="1" applyAlignment="1">
      <alignment horizontal="center"/>
    </xf>
    <xf numFmtId="14" fontId="24" fillId="0" borderId="52" xfId="0" applyNumberFormat="1" applyFont="1" applyBorder="1" applyAlignment="1">
      <alignment horizontal="left"/>
    </xf>
    <xf numFmtId="0" fontId="23" fillId="0" borderId="52" xfId="0" applyFont="1" applyBorder="1" applyAlignment="1">
      <alignment horizontal="left"/>
    </xf>
    <xf numFmtId="14" fontId="23" fillId="0" borderId="52" xfId="0" applyNumberFormat="1" applyFont="1" applyBorder="1" applyAlignment="1">
      <alignment horizontal="left"/>
    </xf>
    <xf numFmtId="164" fontId="15" fillId="2" borderId="11" xfId="0" applyNumberFormat="1" applyFont="1" applyFill="1" applyBorder="1" applyAlignment="1">
      <alignment horizontal="left"/>
    </xf>
    <xf numFmtId="0" fontId="15" fillId="2" borderId="11" xfId="0" applyFont="1" applyFill="1" applyBorder="1" applyAlignment="1">
      <alignment horizontal="left"/>
    </xf>
    <xf numFmtId="165" fontId="15" fillId="2" borderId="11" xfId="0" applyNumberFormat="1" applyFont="1" applyFill="1" applyBorder="1" applyAlignment="1">
      <alignment horizontal="left"/>
    </xf>
    <xf numFmtId="164" fontId="20" fillId="0" borderId="52" xfId="0" applyNumberFormat="1" applyFont="1" applyBorder="1" applyAlignment="1">
      <alignment horizontal="center"/>
    </xf>
    <xf numFmtId="0" fontId="22" fillId="0" borderId="52" xfId="0" applyFont="1" applyBorder="1" applyAlignment="1">
      <alignment horizontal="center"/>
    </xf>
    <xf numFmtId="2" fontId="22" fillId="0" borderId="52" xfId="0" applyNumberFormat="1" applyFont="1" applyBorder="1" applyAlignment="1">
      <alignment horizontal="center"/>
    </xf>
    <xf numFmtId="164" fontId="15" fillId="2" borderId="11" xfId="0" applyNumberFormat="1" applyFont="1" applyFill="1" applyBorder="1" applyAlignment="1">
      <alignment horizontal="center"/>
    </xf>
    <xf numFmtId="1" fontId="15" fillId="2" borderId="11" xfId="0" applyNumberFormat="1" applyFont="1" applyFill="1" applyBorder="1" applyAlignment="1">
      <alignment horizontal="center"/>
    </xf>
    <xf numFmtId="0" fontId="15" fillId="2" borderId="68" xfId="0" applyFont="1" applyFill="1" applyBorder="1" applyAlignment="1">
      <alignment horizontal="center"/>
    </xf>
    <xf numFmtId="165" fontId="15" fillId="2" borderId="11" xfId="0" applyNumberFormat="1" applyFont="1" applyFill="1" applyBorder="1" applyAlignment="1">
      <alignment horizontal="center"/>
    </xf>
    <xf numFmtId="164" fontId="15" fillId="3" borderId="13" xfId="0" applyNumberFormat="1" applyFont="1" applyFill="1" applyBorder="1" applyAlignment="1">
      <alignment horizontal="center"/>
    </xf>
    <xf numFmtId="1" fontId="15" fillId="3" borderId="13" xfId="0" applyNumberFormat="1" applyFont="1" applyFill="1" applyBorder="1" applyAlignment="1">
      <alignment horizontal="center"/>
    </xf>
    <xf numFmtId="0" fontId="15" fillId="3" borderId="76" xfId="0" applyFont="1" applyFill="1" applyBorder="1" applyAlignment="1">
      <alignment horizontal="center"/>
    </xf>
    <xf numFmtId="164" fontId="15" fillId="7" borderId="11" xfId="0" applyNumberFormat="1" applyFont="1" applyFill="1" applyBorder="1" applyAlignment="1">
      <alignment horizontal="center"/>
    </xf>
    <xf numFmtId="1" fontId="15" fillId="7" borderId="13" xfId="0" applyNumberFormat="1" applyFont="1" applyFill="1" applyBorder="1" applyAlignment="1">
      <alignment horizontal="center"/>
    </xf>
    <xf numFmtId="0" fontId="15" fillId="7" borderId="76" xfId="0" applyFont="1" applyFill="1" applyBorder="1" applyAlignment="1">
      <alignment horizontal="center"/>
    </xf>
    <xf numFmtId="14" fontId="15" fillId="2" borderId="67" xfId="0" applyNumberFormat="1" applyFont="1" applyFill="1" applyBorder="1" applyAlignment="1">
      <alignment horizontal="left" vertical="center"/>
    </xf>
    <xf numFmtId="0" fontId="15" fillId="7" borderId="67" xfId="0" applyFont="1" applyFill="1" applyBorder="1" applyAlignment="1">
      <alignment horizontal="left" vertical="center"/>
    </xf>
    <xf numFmtId="14" fontId="15" fillId="2" borderId="73" xfId="0" applyNumberFormat="1" applyFont="1" applyFill="1" applyBorder="1" applyAlignment="1">
      <alignment horizontal="left" vertical="center"/>
    </xf>
    <xf numFmtId="1" fontId="15" fillId="2" borderId="11" xfId="0" applyNumberFormat="1" applyFont="1" applyFill="1" applyBorder="1" applyAlignment="1">
      <alignment horizontal="left"/>
    </xf>
    <xf numFmtId="0" fontId="15" fillId="2" borderId="68" xfId="0" applyFont="1" applyFill="1" applyBorder="1" applyAlignment="1">
      <alignment horizontal="left"/>
    </xf>
    <xf numFmtId="164" fontId="15" fillId="7" borderId="11" xfId="0" applyNumberFormat="1" applyFont="1" applyFill="1" applyBorder="1" applyAlignment="1">
      <alignment horizontal="left"/>
    </xf>
    <xf numFmtId="14" fontId="15" fillId="2" borderId="11" xfId="0" applyNumberFormat="1" applyFont="1" applyFill="1" applyBorder="1" applyAlignment="1">
      <alignment horizontal="left" vertical="center"/>
    </xf>
    <xf numFmtId="14" fontId="15" fillId="7" borderId="13" xfId="0" applyNumberFormat="1" applyFont="1" applyFill="1" applyBorder="1" applyAlignment="1">
      <alignment horizontal="left" vertical="center"/>
    </xf>
    <xf numFmtId="14" fontId="15" fillId="7" borderId="11" xfId="0" applyNumberFormat="1" applyFont="1" applyFill="1" applyBorder="1" applyAlignment="1">
      <alignment horizontal="left" vertical="center"/>
    </xf>
    <xf numFmtId="0" fontId="15" fillId="7" borderId="11" xfId="0" applyFont="1" applyFill="1" applyBorder="1" applyAlignment="1">
      <alignment horizontal="left"/>
    </xf>
    <xf numFmtId="1" fontId="15" fillId="7" borderId="11" xfId="0" applyNumberFormat="1" applyFont="1" applyFill="1" applyBorder="1" applyAlignment="1">
      <alignment horizontal="left"/>
    </xf>
    <xf numFmtId="0" fontId="15" fillId="7" borderId="68" xfId="0" applyFont="1" applyFill="1" applyBorder="1" applyAlignment="1">
      <alignment horizontal="left"/>
    </xf>
    <xf numFmtId="14" fontId="15" fillId="2" borderId="77" xfId="0" applyNumberFormat="1" applyFont="1" applyFill="1" applyBorder="1" applyAlignment="1">
      <alignment horizontal="left" vertical="center"/>
    </xf>
    <xf numFmtId="164" fontId="15" fillId="2" borderId="77" xfId="0" applyNumberFormat="1" applyFont="1" applyFill="1" applyBorder="1" applyAlignment="1">
      <alignment horizontal="left"/>
    </xf>
    <xf numFmtId="0" fontId="15" fillId="2" borderId="77" xfId="0" applyFont="1" applyFill="1" applyBorder="1" applyAlignment="1">
      <alignment horizontal="left"/>
    </xf>
    <xf numFmtId="1" fontId="15" fillId="2" borderId="77" xfId="0" applyNumberFormat="1" applyFont="1" applyFill="1" applyBorder="1" applyAlignment="1">
      <alignment horizontal="left"/>
    </xf>
    <xf numFmtId="0" fontId="15" fillId="2" borderId="78" xfId="0" applyFont="1" applyFill="1" applyBorder="1" applyAlignment="1">
      <alignment horizontal="left"/>
    </xf>
    <xf numFmtId="0" fontId="23" fillId="4" borderId="52" xfId="0" applyFont="1" applyFill="1" applyBorder="1" applyAlignment="1">
      <alignment horizontal="left"/>
    </xf>
    <xf numFmtId="164" fontId="22" fillId="0" borderId="52" xfId="0" applyNumberFormat="1" applyFont="1" applyBorder="1" applyAlignment="1">
      <alignment horizontal="center"/>
    </xf>
    <xf numFmtId="1" fontId="21" fillId="2" borderId="11" xfId="0" applyNumberFormat="1" applyFont="1" applyFill="1" applyBorder="1" applyAlignment="1">
      <alignment horizontal="center"/>
    </xf>
    <xf numFmtId="0" fontId="21" fillId="2" borderId="68" xfId="0" applyFont="1" applyFill="1" applyBorder="1" applyAlignment="1">
      <alignment horizontal="center"/>
    </xf>
    <xf numFmtId="164" fontId="21" fillId="0" borderId="11" xfId="0" applyNumberFormat="1" applyFont="1" applyBorder="1" applyAlignment="1">
      <alignment horizontal="center"/>
    </xf>
    <xf numFmtId="1" fontId="21" fillId="0" borderId="11" xfId="0" applyNumberFormat="1" applyFont="1" applyBorder="1" applyAlignment="1">
      <alignment horizontal="center"/>
    </xf>
    <xf numFmtId="0" fontId="21" fillId="0" borderId="68" xfId="0" applyFont="1" applyBorder="1" applyAlignment="1">
      <alignment horizontal="center"/>
    </xf>
    <xf numFmtId="14" fontId="21" fillId="2" borderId="52" xfId="0" applyNumberFormat="1" applyFont="1" applyFill="1" applyBorder="1" applyAlignment="1">
      <alignment horizontal="left" vertical="center"/>
    </xf>
    <xf numFmtId="20" fontId="11" fillId="5" borderId="52" xfId="0" quotePrefix="1" applyNumberFormat="1" applyFont="1" applyFill="1" applyBorder="1" applyAlignment="1">
      <alignment horizontal="center"/>
    </xf>
    <xf numFmtId="17" fontId="11" fillId="5" borderId="52" xfId="0" quotePrefix="1" applyNumberFormat="1" applyFont="1" applyFill="1" applyBorder="1" applyAlignment="1">
      <alignment horizontal="center"/>
    </xf>
    <xf numFmtId="17" fontId="11" fillId="5" borderId="52" xfId="0" applyNumberFormat="1" applyFont="1" applyFill="1" applyBorder="1" applyAlignment="1">
      <alignment horizontal="center"/>
    </xf>
    <xf numFmtId="0" fontId="11" fillId="5" borderId="52" xfId="0" applyFont="1" applyFill="1" applyBorder="1" applyAlignment="1">
      <alignment horizontal="center"/>
    </xf>
    <xf numFmtId="164" fontId="21" fillId="6" borderId="52" xfId="0" applyNumberFormat="1" applyFont="1" applyFill="1" applyBorder="1" applyAlignment="1">
      <alignment horizontal="center"/>
    </xf>
    <xf numFmtId="0" fontId="27" fillId="4" borderId="52" xfId="0" applyFont="1" applyFill="1" applyBorder="1" applyAlignment="1">
      <alignment horizontal="left"/>
    </xf>
    <xf numFmtId="14" fontId="26" fillId="0" borderId="52" xfId="1" applyNumberFormat="1" applyFont="1" applyBorder="1" applyAlignment="1">
      <alignment horizontal="center"/>
    </xf>
    <xf numFmtId="14" fontId="24" fillId="0" borderId="52" xfId="1" applyNumberFormat="1" applyFont="1" applyBorder="1" applyAlignment="1">
      <alignment horizontal="center"/>
    </xf>
    <xf numFmtId="0" fontId="28" fillId="4" borderId="52" xfId="0" applyFont="1" applyFill="1" applyBorder="1" applyAlignment="1">
      <alignment horizontal="left"/>
    </xf>
    <xf numFmtId="0" fontId="21" fillId="2" borderId="52" xfId="0" applyFont="1" applyFill="1" applyBorder="1" applyAlignment="1">
      <alignment horizontal="center" vertical="center"/>
    </xf>
    <xf numFmtId="0" fontId="22" fillId="4" borderId="52" xfId="0" applyFont="1" applyFill="1" applyBorder="1" applyAlignment="1">
      <alignment horizontal="center"/>
    </xf>
    <xf numFmtId="20" fontId="15" fillId="5" borderId="52" xfId="0" quotePrefix="1" applyNumberFormat="1" applyFont="1" applyFill="1" applyBorder="1" applyAlignment="1">
      <alignment horizontal="center"/>
    </xf>
    <xf numFmtId="17" fontId="15" fillId="5" borderId="52" xfId="0" quotePrefix="1" applyNumberFormat="1" applyFont="1" applyFill="1" applyBorder="1" applyAlignment="1">
      <alignment horizontal="center"/>
    </xf>
    <xf numFmtId="17" fontId="15" fillId="5" borderId="52" xfId="0" applyNumberFormat="1" applyFont="1" applyFill="1" applyBorder="1" applyAlignment="1">
      <alignment horizontal="center"/>
    </xf>
    <xf numFmtId="0" fontId="29" fillId="4" borderId="52" xfId="0" applyFont="1" applyFill="1" applyBorder="1" applyAlignment="1">
      <alignment horizontal="left"/>
    </xf>
    <xf numFmtId="14" fontId="15" fillId="2" borderId="52" xfId="0" applyNumberFormat="1" applyFont="1" applyFill="1" applyBorder="1" applyAlignment="1">
      <alignment horizontal="left" vertical="center"/>
    </xf>
    <xf numFmtId="0" fontId="30" fillId="4" borderId="52" xfId="0" applyFont="1" applyFill="1" applyBorder="1" applyAlignment="1">
      <alignment horizontal="left"/>
    </xf>
    <xf numFmtId="2" fontId="22" fillId="4" borderId="52" xfId="0" applyNumberFormat="1" applyFont="1" applyFill="1" applyBorder="1" applyAlignment="1">
      <alignment horizontal="center"/>
    </xf>
    <xf numFmtId="164" fontId="22" fillId="4" borderId="52" xfId="0" applyNumberFormat="1" applyFont="1" applyFill="1" applyBorder="1" applyAlignment="1">
      <alignment horizontal="center"/>
    </xf>
    <xf numFmtId="2" fontId="20" fillId="4" borderId="52" xfId="0" applyNumberFormat="1" applyFont="1" applyFill="1" applyBorder="1" applyAlignment="1">
      <alignment horizontal="center"/>
    </xf>
    <xf numFmtId="164" fontId="21" fillId="4" borderId="52" xfId="0" applyNumberFormat="1" applyFont="1" applyFill="1" applyBorder="1" applyAlignment="1">
      <alignment horizontal="center"/>
    </xf>
    <xf numFmtId="1" fontId="21" fillId="4" borderId="52" xfId="0" applyNumberFormat="1" applyFont="1" applyFill="1" applyBorder="1" applyAlignment="1">
      <alignment horizontal="center"/>
    </xf>
    <xf numFmtId="1" fontId="11" fillId="5" borderId="52" xfId="0" applyNumberFormat="1" applyFont="1" applyFill="1" applyBorder="1" applyAlignment="1">
      <alignment horizontal="center"/>
    </xf>
    <xf numFmtId="1" fontId="21" fillId="2" borderId="52" xfId="0" applyNumberFormat="1" applyFont="1" applyFill="1" applyBorder="1" applyAlignment="1">
      <alignment horizontal="right"/>
    </xf>
    <xf numFmtId="1" fontId="11" fillId="5" borderId="52" xfId="0" applyNumberFormat="1" applyFont="1" applyFill="1" applyBorder="1" applyAlignment="1">
      <alignment horizontal="right"/>
    </xf>
    <xf numFmtId="164" fontId="12" fillId="0" borderId="52" xfId="0" applyNumberFormat="1" applyFont="1" applyBorder="1" applyAlignment="1">
      <alignment horizontal="center"/>
    </xf>
    <xf numFmtId="2" fontId="12" fillId="0" borderId="52" xfId="0" applyNumberFormat="1" applyFont="1" applyBorder="1" applyAlignment="1">
      <alignment horizontal="center"/>
    </xf>
    <xf numFmtId="20" fontId="21" fillId="5" borderId="21" xfId="0" applyNumberFormat="1" applyFont="1" applyFill="1" applyBorder="1" applyAlignment="1">
      <alignment horizontal="center"/>
    </xf>
    <xf numFmtId="0" fontId="21" fillId="5" borderId="11" xfId="0" applyFont="1" applyFill="1" applyBorder="1" applyAlignment="1">
      <alignment horizontal="center"/>
    </xf>
    <xf numFmtId="17" fontId="21" fillId="5" borderId="21" xfId="0" applyNumberFormat="1" applyFont="1" applyFill="1" applyBorder="1" applyAlignment="1">
      <alignment horizontal="center"/>
    </xf>
    <xf numFmtId="0" fontId="21" fillId="5" borderId="43" xfId="0" applyFont="1" applyFill="1" applyBorder="1" applyAlignment="1">
      <alignment horizontal="center"/>
    </xf>
    <xf numFmtId="17" fontId="21" fillId="5" borderId="11" xfId="0" applyNumberFormat="1" applyFont="1" applyFill="1" applyBorder="1" applyAlignment="1">
      <alignment horizontal="center"/>
    </xf>
    <xf numFmtId="0" fontId="21" fillId="5" borderId="12" xfId="0" applyFont="1" applyFill="1" applyBorder="1" applyAlignment="1">
      <alignment horizontal="center"/>
    </xf>
    <xf numFmtId="0" fontId="21" fillId="2" borderId="12" xfId="0" applyFont="1" applyFill="1" applyBorder="1" applyAlignment="1">
      <alignment horizontal="center"/>
    </xf>
    <xf numFmtId="0" fontId="15" fillId="2" borderId="11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17" fontId="15" fillId="2" borderId="11" xfId="0" applyNumberFormat="1" applyFont="1" applyFill="1" applyBorder="1" applyAlignment="1">
      <alignment horizontal="center"/>
    </xf>
    <xf numFmtId="2" fontId="20" fillId="0" borderId="52" xfId="0" applyNumberFormat="1" applyFont="1" applyBorder="1"/>
    <xf numFmtId="2" fontId="20" fillId="0" borderId="52" xfId="0" applyNumberFormat="1" applyFont="1" applyBorder="1" applyAlignment="1">
      <alignment horizontal="center"/>
    </xf>
    <xf numFmtId="164" fontId="11" fillId="4" borderId="52" xfId="0" applyNumberFormat="1" applyFont="1" applyFill="1" applyBorder="1" applyAlignment="1">
      <alignment horizontal="center"/>
    </xf>
    <xf numFmtId="1" fontId="11" fillId="4" borderId="52" xfId="0" applyNumberFormat="1" applyFont="1" applyFill="1" applyBorder="1" applyAlignment="1">
      <alignment horizontal="center"/>
    </xf>
    <xf numFmtId="0" fontId="11" fillId="4" borderId="52" xfId="0" applyFont="1" applyFill="1" applyBorder="1" applyAlignment="1">
      <alignment horizontal="center"/>
    </xf>
    <xf numFmtId="17" fontId="21" fillId="2" borderId="52" xfId="0" applyNumberFormat="1" applyFont="1" applyFill="1" applyBorder="1" applyAlignment="1">
      <alignment horizontal="center"/>
    </xf>
    <xf numFmtId="0" fontId="21" fillId="8" borderId="52" xfId="0" applyFont="1" applyFill="1" applyBorder="1" applyAlignment="1">
      <alignment horizontal="left" vertical="center"/>
    </xf>
    <xf numFmtId="14" fontId="24" fillId="9" borderId="52" xfId="0" applyNumberFormat="1" applyFont="1" applyFill="1" applyBorder="1" applyAlignment="1">
      <alignment horizontal="center"/>
    </xf>
    <xf numFmtId="14" fontId="21" fillId="10" borderId="52" xfId="0" applyNumberFormat="1" applyFont="1" applyFill="1" applyBorder="1" applyAlignment="1">
      <alignment horizontal="center" vertical="center"/>
    </xf>
    <xf numFmtId="0" fontId="21" fillId="9" borderId="52" xfId="0" applyFont="1" applyFill="1" applyBorder="1" applyAlignment="1">
      <alignment horizontal="center"/>
    </xf>
    <xf numFmtId="2" fontId="21" fillId="9" borderId="52" xfId="0" applyNumberFormat="1" applyFont="1" applyFill="1" applyBorder="1" applyAlignment="1">
      <alignment horizontal="center"/>
    </xf>
    <xf numFmtId="164" fontId="21" fillId="8" borderId="52" xfId="0" applyNumberFormat="1" applyFont="1" applyFill="1" applyBorder="1" applyAlignment="1">
      <alignment horizontal="center"/>
    </xf>
    <xf numFmtId="1" fontId="21" fillId="9" borderId="52" xfId="0" applyNumberFormat="1" applyFont="1" applyFill="1" applyBorder="1" applyAlignment="1">
      <alignment horizontal="center"/>
    </xf>
    <xf numFmtId="164" fontId="21" fillId="9" borderId="52" xfId="0" applyNumberFormat="1" applyFont="1" applyFill="1" applyBorder="1" applyAlignment="1">
      <alignment horizontal="center"/>
    </xf>
    <xf numFmtId="0" fontId="15" fillId="8" borderId="56" xfId="0" applyFont="1" applyFill="1" applyBorder="1" applyAlignment="1">
      <alignment horizontal="left" vertical="center"/>
    </xf>
    <xf numFmtId="14" fontId="15" fillId="8" borderId="52" xfId="0" applyNumberFormat="1" applyFont="1" applyFill="1" applyBorder="1" applyAlignment="1">
      <alignment horizontal="center" vertical="center"/>
    </xf>
    <xf numFmtId="14" fontId="15" fillId="10" borderId="52" xfId="0" applyNumberFormat="1" applyFont="1" applyFill="1" applyBorder="1" applyAlignment="1">
      <alignment horizontal="center" vertical="center"/>
    </xf>
    <xf numFmtId="0" fontId="15" fillId="11" borderId="52" xfId="0" applyFont="1" applyFill="1" applyBorder="1" applyAlignment="1">
      <alignment horizontal="center"/>
    </xf>
    <xf numFmtId="0" fontId="15" fillId="9" borderId="52" xfId="0" applyFont="1" applyFill="1" applyBorder="1" applyAlignment="1">
      <alignment horizontal="center"/>
    </xf>
    <xf numFmtId="164" fontId="15" fillId="8" borderId="52" xfId="0" applyNumberFormat="1" applyFont="1" applyFill="1" applyBorder="1" applyAlignment="1">
      <alignment horizontal="center"/>
    </xf>
    <xf numFmtId="2" fontId="15" fillId="11" borderId="52" xfId="0" applyNumberFormat="1" applyFont="1" applyFill="1" applyBorder="1" applyAlignment="1">
      <alignment horizontal="center"/>
    </xf>
    <xf numFmtId="1" fontId="15" fillId="11" borderId="57" xfId="0" applyNumberFormat="1" applyFont="1" applyFill="1" applyBorder="1" applyAlignment="1">
      <alignment horizontal="center"/>
    </xf>
    <xf numFmtId="0" fontId="11" fillId="10" borderId="56" xfId="0" applyFont="1" applyFill="1" applyBorder="1" applyAlignment="1">
      <alignment horizontal="left" vertical="center"/>
    </xf>
    <xf numFmtId="14" fontId="23" fillId="9" borderId="52" xfId="0" applyNumberFormat="1" applyFont="1" applyFill="1" applyBorder="1" applyAlignment="1">
      <alignment horizontal="center"/>
    </xf>
    <xf numFmtId="14" fontId="11" fillId="10" borderId="52" xfId="0" applyNumberFormat="1" applyFont="1" applyFill="1" applyBorder="1" applyAlignment="1">
      <alignment horizontal="center" vertical="center"/>
    </xf>
    <xf numFmtId="0" fontId="11" fillId="10" borderId="52" xfId="0" applyFont="1" applyFill="1" applyBorder="1" applyAlignment="1">
      <alignment horizontal="center" vertical="center"/>
    </xf>
    <xf numFmtId="164" fontId="11" fillId="10" borderId="52" xfId="0" applyNumberFormat="1" applyFont="1" applyFill="1" applyBorder="1" applyAlignment="1">
      <alignment horizontal="center" vertical="center"/>
    </xf>
    <xf numFmtId="14" fontId="11" fillId="10" borderId="57" xfId="0" applyNumberFormat="1" applyFont="1" applyFill="1" applyBorder="1" applyAlignment="1">
      <alignment horizontal="center" vertical="center"/>
    </xf>
    <xf numFmtId="0" fontId="11" fillId="9" borderId="52" xfId="0" applyFont="1" applyFill="1" applyBorder="1" applyAlignment="1">
      <alignment horizontal="left"/>
    </xf>
    <xf numFmtId="14" fontId="11" fillId="9" borderId="52" xfId="0" applyNumberFormat="1" applyFont="1" applyFill="1" applyBorder="1"/>
    <xf numFmtId="14" fontId="11" fillId="10" borderId="52" xfId="0" applyNumberFormat="1" applyFont="1" applyFill="1" applyBorder="1" applyAlignment="1">
      <alignment vertical="center"/>
    </xf>
    <xf numFmtId="0" fontId="12" fillId="9" borderId="52" xfId="0" applyFont="1" applyFill="1" applyBorder="1" applyAlignment="1">
      <alignment horizontal="center"/>
    </xf>
    <xf numFmtId="164" fontId="11" fillId="8" borderId="52" xfId="0" applyNumberFormat="1" applyFont="1" applyFill="1" applyBorder="1" applyAlignment="1">
      <alignment horizontal="center"/>
    </xf>
    <xf numFmtId="1" fontId="11" fillId="8" borderId="52" xfId="0" applyNumberFormat="1" applyFont="1" applyFill="1" applyBorder="1" applyAlignment="1">
      <alignment horizontal="center"/>
    </xf>
    <xf numFmtId="0" fontId="11" fillId="8" borderId="52" xfId="0" applyFont="1" applyFill="1" applyBorder="1" applyAlignment="1">
      <alignment horizontal="center"/>
    </xf>
    <xf numFmtId="0" fontId="24" fillId="9" borderId="52" xfId="0" applyFont="1" applyFill="1" applyBorder="1" applyAlignment="1">
      <alignment horizontal="left"/>
    </xf>
    <xf numFmtId="14" fontId="24" fillId="9" borderId="52" xfId="0" applyNumberFormat="1" applyFont="1" applyFill="1" applyBorder="1"/>
    <xf numFmtId="14" fontId="21" fillId="10" borderId="52" xfId="0" applyNumberFormat="1" applyFont="1" applyFill="1" applyBorder="1" applyAlignment="1">
      <alignment vertical="center"/>
    </xf>
    <xf numFmtId="0" fontId="20" fillId="9" borderId="52" xfId="0" applyFont="1" applyFill="1" applyBorder="1" applyAlignment="1">
      <alignment horizontal="center"/>
    </xf>
    <xf numFmtId="164" fontId="21" fillId="11" borderId="52" xfId="0" applyNumberFormat="1" applyFont="1" applyFill="1" applyBorder="1" applyAlignment="1">
      <alignment horizontal="center"/>
    </xf>
    <xf numFmtId="1" fontId="21" fillId="11" borderId="52" xfId="0" applyNumberFormat="1" applyFont="1" applyFill="1" applyBorder="1" applyAlignment="1">
      <alignment horizontal="center"/>
    </xf>
    <xf numFmtId="0" fontId="21" fillId="11" borderId="52" xfId="0" applyFont="1" applyFill="1" applyBorder="1" applyAlignment="1">
      <alignment horizontal="center"/>
    </xf>
    <xf numFmtId="164" fontId="21" fillId="11" borderId="13" xfId="0" applyNumberFormat="1" applyFont="1" applyFill="1" applyBorder="1" applyAlignment="1">
      <alignment horizontal="center"/>
    </xf>
    <xf numFmtId="1" fontId="21" fillId="9" borderId="11" xfId="0" applyNumberFormat="1" applyFont="1" applyFill="1" applyBorder="1" applyAlignment="1">
      <alignment horizontal="center"/>
    </xf>
    <xf numFmtId="165" fontId="21" fillId="9" borderId="11" xfId="0" applyNumberFormat="1" applyFont="1" applyFill="1" applyBorder="1" applyAlignment="1">
      <alignment horizontal="center"/>
    </xf>
    <xf numFmtId="0" fontId="21" fillId="9" borderId="12" xfId="0" applyFont="1" applyFill="1" applyBorder="1" applyAlignment="1">
      <alignment horizontal="center"/>
    </xf>
    <xf numFmtId="0" fontId="26" fillId="9" borderId="52" xfId="0" applyFont="1" applyFill="1" applyBorder="1" applyAlignment="1">
      <alignment horizontal="left"/>
    </xf>
    <xf numFmtId="14" fontId="26" fillId="9" borderId="52" xfId="0" applyNumberFormat="1" applyFont="1" applyFill="1" applyBorder="1" applyAlignment="1">
      <alignment horizontal="center"/>
    </xf>
    <xf numFmtId="164" fontId="11" fillId="11" borderId="13" xfId="0" applyNumberFormat="1" applyFont="1" applyFill="1" applyBorder="1" applyAlignment="1">
      <alignment horizontal="center"/>
    </xf>
    <xf numFmtId="1" fontId="11" fillId="11" borderId="13" xfId="0" applyNumberFormat="1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1" fontId="21" fillId="11" borderId="13" xfId="0" applyNumberFormat="1" applyFont="1" applyFill="1" applyBorder="1" applyAlignment="1">
      <alignment horizontal="center"/>
    </xf>
    <xf numFmtId="0" fontId="21" fillId="11" borderId="24" xfId="0" applyFont="1" applyFill="1" applyBorder="1" applyAlignment="1">
      <alignment horizontal="center"/>
    </xf>
    <xf numFmtId="0" fontId="26" fillId="9" borderId="52" xfId="0" applyFont="1" applyFill="1" applyBorder="1" applyAlignment="1">
      <alignment horizontal="left" wrapText="1"/>
    </xf>
    <xf numFmtId="1" fontId="11" fillId="11" borderId="45" xfId="0" applyNumberFormat="1" applyFont="1" applyFill="1" applyBorder="1" applyAlignment="1">
      <alignment horizontal="center"/>
    </xf>
    <xf numFmtId="0" fontId="11" fillId="11" borderId="31" xfId="0" applyFont="1" applyFill="1" applyBorder="1" applyAlignment="1">
      <alignment horizontal="center"/>
    </xf>
    <xf numFmtId="14" fontId="24" fillId="9" borderId="52" xfId="1" applyNumberFormat="1" applyFont="1" applyFill="1" applyBorder="1" applyAlignment="1">
      <alignment horizontal="center"/>
    </xf>
    <xf numFmtId="0" fontId="21" fillId="8" borderId="52" xfId="0" applyFont="1" applyFill="1" applyBorder="1" applyAlignment="1">
      <alignment horizontal="center"/>
    </xf>
    <xf numFmtId="0" fontId="23" fillId="9" borderId="52" xfId="0" applyFont="1" applyFill="1" applyBorder="1" applyAlignment="1">
      <alignment horizontal="left"/>
    </xf>
    <xf numFmtId="0" fontId="22" fillId="9" borderId="52" xfId="0" applyFont="1" applyFill="1" applyBorder="1" applyAlignment="1">
      <alignment horizontal="center"/>
    </xf>
    <xf numFmtId="1" fontId="15" fillId="8" borderId="52" xfId="0" applyNumberFormat="1" applyFont="1" applyFill="1" applyBorder="1" applyAlignment="1">
      <alignment horizontal="center"/>
    </xf>
    <xf numFmtId="0" fontId="15" fillId="8" borderId="5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3" xfId="0" applyFont="1" applyFill="1" applyBorder="1"/>
    <xf numFmtId="0" fontId="4" fillId="0" borderId="22" xfId="0" applyFont="1" applyBorder="1" applyAlignment="1">
      <alignment horizontal="center"/>
    </xf>
    <xf numFmtId="0" fontId="3" fillId="0" borderId="23" xfId="0" applyFont="1" applyBorder="1"/>
    <xf numFmtId="0" fontId="3" fillId="0" borderId="24" xfId="0" applyFont="1" applyBorder="1"/>
    <xf numFmtId="0" fontId="2" fillId="0" borderId="14" xfId="0" applyFont="1" applyBorder="1" applyAlignment="1">
      <alignment horizontal="center"/>
    </xf>
    <xf numFmtId="0" fontId="3" fillId="0" borderId="13" xfId="0" applyFont="1" applyBorder="1"/>
    <xf numFmtId="0" fontId="4" fillId="0" borderId="25" xfId="0" applyFont="1" applyBorder="1" applyAlignment="1">
      <alignment horizontal="center" wrapText="1"/>
    </xf>
    <xf numFmtId="0" fontId="3" fillId="0" borderId="18" xfId="0" applyFont="1" applyBorder="1"/>
    <xf numFmtId="0" fontId="3" fillId="0" borderId="26" xfId="0" applyFont="1" applyBorder="1"/>
    <xf numFmtId="0" fontId="3" fillId="0" borderId="27" xfId="0" applyFont="1" applyBorder="1"/>
    <xf numFmtId="0" fontId="0" fillId="0" borderId="0" xfId="0"/>
    <xf numFmtId="0" fontId="3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2" fontId="4" fillId="0" borderId="32" xfId="0" applyNumberFormat="1" applyFont="1" applyBorder="1" applyAlignment="1">
      <alignment horizontal="center"/>
    </xf>
    <xf numFmtId="0" fontId="3" fillId="0" borderId="33" xfId="0" applyFont="1" applyBorder="1"/>
    <xf numFmtId="0" fontId="3" fillId="0" borderId="34" xfId="0" applyFont="1" applyBorder="1"/>
    <xf numFmtId="0" fontId="4" fillId="0" borderId="25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3" fillId="0" borderId="20" xfId="0" applyFont="1" applyBorder="1"/>
    <xf numFmtId="0" fontId="3" fillId="0" borderId="21" xfId="0" applyFont="1" applyBorder="1"/>
    <xf numFmtId="14" fontId="7" fillId="0" borderId="19" xfId="0" applyNumberFormat="1" applyFont="1" applyBorder="1" applyAlignment="1">
      <alignment horizontal="center"/>
    </xf>
    <xf numFmtId="14" fontId="7" fillId="0" borderId="19" xfId="0" applyNumberFormat="1" applyFont="1" applyBorder="1" applyAlignment="1">
      <alignment horizontal="left"/>
    </xf>
    <xf numFmtId="0" fontId="14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0" borderId="0" xfId="0" applyFont="1" applyAlignment="1">
      <alignment horizontal="center" wrapText="1"/>
    </xf>
    <xf numFmtId="2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9" xfId="0" applyFont="1" applyBorder="1" applyAlignment="1">
      <alignment horizontal="left"/>
    </xf>
    <xf numFmtId="14" fontId="14" fillId="2" borderId="1" xfId="0" quotePrefix="1" applyNumberFormat="1" applyFont="1" applyFill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8" fillId="0" borderId="23" xfId="0" applyFont="1" applyBorder="1"/>
    <xf numFmtId="0" fontId="18" fillId="0" borderId="24" xfId="0" applyFont="1" applyBorder="1"/>
    <xf numFmtId="0" fontId="14" fillId="0" borderId="14" xfId="0" applyFont="1" applyBorder="1" applyAlignment="1">
      <alignment horizontal="center"/>
    </xf>
    <xf numFmtId="0" fontId="18" fillId="0" borderId="13" xfId="0" applyFont="1" applyBorder="1"/>
    <xf numFmtId="0" fontId="16" fillId="0" borderId="25" xfId="0" applyFont="1" applyBorder="1" applyAlignment="1">
      <alignment horizontal="center"/>
    </xf>
    <xf numFmtId="0" fontId="18" fillId="0" borderId="18" xfId="0" applyFont="1" applyBorder="1"/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29" xfId="0" applyFont="1" applyBorder="1"/>
    <xf numFmtId="0" fontId="18" fillId="0" borderId="30" xfId="0" applyFont="1" applyBorder="1"/>
    <xf numFmtId="0" fontId="18" fillId="0" borderId="31" xfId="0" applyFont="1" applyBorder="1"/>
    <xf numFmtId="2" fontId="16" fillId="0" borderId="32" xfId="0" applyNumberFormat="1" applyFont="1" applyBorder="1" applyAlignment="1">
      <alignment horizontal="center"/>
    </xf>
    <xf numFmtId="0" fontId="18" fillId="0" borderId="33" xfId="0" applyFont="1" applyBorder="1"/>
    <xf numFmtId="0" fontId="18" fillId="0" borderId="34" xfId="0" applyFont="1" applyBorder="1"/>
    <xf numFmtId="14" fontId="17" fillId="0" borderId="19" xfId="0" applyNumberFormat="1" applyFont="1" applyBorder="1" applyAlignment="1">
      <alignment horizontal="center"/>
    </xf>
    <xf numFmtId="0" fontId="18" fillId="0" borderId="20" xfId="0" applyFont="1" applyBorder="1"/>
    <xf numFmtId="0" fontId="18" fillId="0" borderId="21" xfId="0" applyFont="1" applyBorder="1"/>
    <xf numFmtId="0" fontId="16" fillId="0" borderId="25" xfId="0" applyFont="1" applyBorder="1" applyAlignment="1">
      <alignment horizontal="center" wrapText="1"/>
    </xf>
    <xf numFmtId="0" fontId="17" fillId="0" borderId="19" xfId="0" applyFont="1" applyBorder="1" applyAlignment="1">
      <alignment horizontal="center"/>
    </xf>
    <xf numFmtId="0" fontId="19" fillId="2" borderId="1" xfId="0" quotePrefix="1" applyFont="1" applyFill="1" applyBorder="1" applyAlignment="1">
      <alignment horizontal="center"/>
    </xf>
    <xf numFmtId="0" fontId="18" fillId="4" borderId="2" xfId="0" applyFont="1" applyFill="1" applyBorder="1"/>
    <xf numFmtId="0" fontId="18" fillId="4" borderId="3" xfId="0" applyFont="1" applyFill="1" applyBorder="1"/>
    <xf numFmtId="0" fontId="2" fillId="2" borderId="1" xfId="0" quotePrefix="1" applyFont="1" applyFill="1" applyBorder="1" applyAlignment="1">
      <alignment horizontal="center"/>
    </xf>
    <xf numFmtId="0" fontId="14" fillId="2" borderId="1" xfId="0" quotePrefix="1" applyFont="1" applyFill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Fechamento!$F$2</c:f>
              <c:strCache>
                <c:ptCount val="1"/>
                <c:pt idx="0">
                  <c:v>Menina (%)</c:v>
                </c:pt>
              </c:strCache>
            </c:strRef>
          </c:tx>
          <c:spPr>
            <a:solidFill>
              <a:srgbClr val="FF66CC"/>
            </a:solidFill>
          </c:spPr>
          <c:invertIfNegative val="1"/>
          <c:cat>
            <c:strRef>
              <c:f>Fechamento!$E$3:$E$6</c:f>
              <c:strCache>
                <c:ptCount val="4"/>
                <c:pt idx="0">
                  <c:v>Baixo Peso</c:v>
                </c:pt>
                <c:pt idx="1">
                  <c:v>Eutrofia</c:v>
                </c:pt>
                <c:pt idx="2">
                  <c:v>Sobrepeso</c:v>
                </c:pt>
                <c:pt idx="3">
                  <c:v>Obesidade</c:v>
                </c:pt>
              </c:strCache>
            </c:strRef>
          </c:cat>
          <c:val>
            <c:numRef>
              <c:f>Fechamento!$F$3:$F$6</c:f>
              <c:numCache>
                <c:formatCode>0</c:formatCode>
                <c:ptCount val="4"/>
                <c:pt idx="0">
                  <c:v>0</c:v>
                </c:pt>
                <c:pt idx="1">
                  <c:v>40.594059405940591</c:v>
                </c:pt>
                <c:pt idx="2">
                  <c:v>7.9207920792079207</c:v>
                </c:pt>
                <c:pt idx="3">
                  <c:v>1.9801980198019802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2F6F-4F70-8767-C3445FDFC26E}"/>
            </c:ext>
          </c:extLst>
        </c:ser>
        <c:ser>
          <c:idx val="1"/>
          <c:order val="1"/>
          <c:tx>
            <c:strRef>
              <c:f>Fechamento!$G$2</c:f>
              <c:strCache>
                <c:ptCount val="1"/>
                <c:pt idx="0">
                  <c:v>Menino (%)</c:v>
                </c:pt>
              </c:strCache>
            </c:strRef>
          </c:tx>
          <c:spPr>
            <a:solidFill>
              <a:srgbClr val="0070C0"/>
            </a:solidFill>
          </c:spPr>
          <c:invertIfNegative val="1"/>
          <c:cat>
            <c:strRef>
              <c:f>Fechamento!$E$3:$E$6</c:f>
              <c:strCache>
                <c:ptCount val="4"/>
                <c:pt idx="0">
                  <c:v>Baixo Peso</c:v>
                </c:pt>
                <c:pt idx="1">
                  <c:v>Eutrofia</c:v>
                </c:pt>
                <c:pt idx="2">
                  <c:v>Sobrepeso</c:v>
                </c:pt>
                <c:pt idx="3">
                  <c:v>Obesidade</c:v>
                </c:pt>
              </c:strCache>
            </c:strRef>
          </c:cat>
          <c:val>
            <c:numRef>
              <c:f>Fechamento!$G$3:$G$6</c:f>
              <c:numCache>
                <c:formatCode>0</c:formatCode>
                <c:ptCount val="4"/>
                <c:pt idx="0">
                  <c:v>0</c:v>
                </c:pt>
                <c:pt idx="1">
                  <c:v>31.683168316831683</c:v>
                </c:pt>
                <c:pt idx="2">
                  <c:v>13.861386138613861</c:v>
                </c:pt>
                <c:pt idx="3">
                  <c:v>3.9603960396039604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2F6F-4F70-8767-C3445FDFC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8334769"/>
        <c:axId val="28759245"/>
      </c:barChart>
      <c:catAx>
        <c:axId val="2138334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8759245"/>
        <c:crosses val="autoZero"/>
        <c:auto val="1"/>
        <c:lblAlgn val="ctr"/>
        <c:lblOffset val="100"/>
        <c:noMultiLvlLbl val="1"/>
      </c:catAx>
      <c:valAx>
        <c:axId val="28759245"/>
        <c:scaling>
          <c:orientation val="minMax"/>
        </c:scaling>
        <c:delete val="0"/>
        <c:axPos val="l"/>
        <c:numFmt formatCode="0" sourceLinked="1"/>
        <c:majorTickMark val="cross"/>
        <c:minorTickMark val="cross"/>
        <c:tickLblPos val="nextTo"/>
        <c:spPr>
          <a:ln>
            <a:noFill/>
          </a:ln>
        </c:spPr>
        <c:crossAx val="213833476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266700</xdr:colOff>
      <xdr:row>8</xdr:row>
      <xdr:rowOff>47625</xdr:rowOff>
    </xdr:from>
    <xdr:ext cx="4486275" cy="2609850"/>
    <xdr:graphicFrame macro="">
      <xdr:nvGraphicFramePr>
        <xdr:cNvPr id="2076147136" name="Chart 1">
          <a:extLst>
            <a:ext uri="{FF2B5EF4-FFF2-40B4-BE49-F238E27FC236}">
              <a16:creationId xmlns:a16="http://schemas.microsoft.com/office/drawing/2014/main" id="{00000000-0008-0000-1D00-0000C07DB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742950</xdr:colOff>
      <xdr:row>8</xdr:row>
      <xdr:rowOff>93345</xdr:rowOff>
    </xdr:from>
    <xdr:ext cx="371475" cy="200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 txBox="1"/>
      </xdr:nvSpPr>
      <xdr:spPr>
        <a:xfrm>
          <a:off x="5132070" y="1495425"/>
          <a:ext cx="371475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41%</a:t>
          </a:r>
          <a:endParaRPr sz="1400"/>
        </a:p>
      </xdr:txBody>
    </xdr:sp>
    <xdr:clientData fLocksWithSheet="0"/>
  </xdr:oneCellAnchor>
  <xdr:oneCellAnchor>
    <xdr:from>
      <xdr:col>6</xdr:col>
      <xdr:colOff>304800</xdr:colOff>
      <xdr:row>10</xdr:row>
      <xdr:rowOff>51435</xdr:rowOff>
    </xdr:from>
    <xdr:ext cx="34290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 txBox="1"/>
      </xdr:nvSpPr>
      <xdr:spPr>
        <a:xfrm>
          <a:off x="5539740" y="1804035"/>
          <a:ext cx="342900" cy="1905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32%</a:t>
          </a:r>
          <a:endParaRPr sz="1400"/>
        </a:p>
      </xdr:txBody>
    </xdr:sp>
    <xdr:clientData fLocksWithSheet="0"/>
  </xdr:oneCellAnchor>
  <xdr:oneCellAnchor>
    <xdr:from>
      <xdr:col>8</xdr:col>
      <xdr:colOff>495300</xdr:colOff>
      <xdr:row>16</xdr:row>
      <xdr:rowOff>85725</xdr:rowOff>
    </xdr:from>
    <xdr:ext cx="400050" cy="1809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 txBox="1"/>
      </xdr:nvSpPr>
      <xdr:spPr>
        <a:xfrm>
          <a:off x="7139940" y="2889885"/>
          <a:ext cx="400050" cy="1809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2%</a:t>
          </a:r>
          <a:endParaRPr sz="1400"/>
        </a:p>
      </xdr:txBody>
    </xdr:sp>
    <xdr:clientData fLocksWithSheet="0"/>
  </xdr:oneCellAnchor>
  <xdr:oneCellAnchor>
    <xdr:from>
      <xdr:col>7</xdr:col>
      <xdr:colOff>85725</xdr:colOff>
      <xdr:row>15</xdr:row>
      <xdr:rowOff>45720</xdr:rowOff>
    </xdr:from>
    <xdr:ext cx="379095" cy="16002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SpPr txBox="1"/>
      </xdr:nvSpPr>
      <xdr:spPr>
        <a:xfrm>
          <a:off x="6136005" y="2674620"/>
          <a:ext cx="379095" cy="16002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8%</a:t>
          </a:r>
          <a:endParaRPr sz="1400"/>
        </a:p>
      </xdr:txBody>
    </xdr:sp>
    <xdr:clientData fLocksWithSheet="0"/>
  </xdr:oneCellAnchor>
  <xdr:oneCellAnchor>
    <xdr:from>
      <xdr:col>7</xdr:col>
      <xdr:colOff>478154</xdr:colOff>
      <xdr:row>14</xdr:row>
      <xdr:rowOff>11430</xdr:rowOff>
    </xdr:from>
    <xdr:ext cx="474345" cy="23241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SpPr txBox="1"/>
      </xdr:nvSpPr>
      <xdr:spPr>
        <a:xfrm>
          <a:off x="6528434" y="2465070"/>
          <a:ext cx="474345" cy="23241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14%</a:t>
          </a:r>
          <a:endParaRPr sz="1400"/>
        </a:p>
      </xdr:txBody>
    </xdr:sp>
    <xdr:clientData fLocksWithSheet="0"/>
  </xdr:oneCellAnchor>
  <xdr:oneCellAnchor>
    <xdr:from>
      <xdr:col>9</xdr:col>
      <xdr:colOff>238125</xdr:colOff>
      <xdr:row>15</xdr:row>
      <xdr:rowOff>137160</xdr:rowOff>
    </xdr:from>
    <xdr:ext cx="381000" cy="1809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SpPr txBox="1"/>
      </xdr:nvSpPr>
      <xdr:spPr>
        <a:xfrm>
          <a:off x="7477125" y="2766060"/>
          <a:ext cx="381000" cy="1809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4%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E2F3"/>
  </sheetPr>
  <dimension ref="A1:Z1000"/>
  <sheetViews>
    <sheetView workbookViewId="0">
      <selection sqref="A1:K12"/>
    </sheetView>
  </sheetViews>
  <sheetFormatPr defaultColWidth="14.44140625" defaultRowHeight="15" customHeight="1"/>
  <cols>
    <col min="1" max="1" width="24" style="69" customWidth="1"/>
    <col min="2" max="3" width="11.109375" style="69" customWidth="1"/>
    <col min="4" max="4" width="6.6640625" style="69" customWidth="1"/>
    <col min="5" max="5" width="6.33203125" style="69" customWidth="1"/>
    <col min="6" max="6" width="7.88671875" style="69" bestFit="1" customWidth="1"/>
    <col min="7" max="7" width="8.109375" style="69" customWidth="1"/>
    <col min="8" max="8" width="6.33203125" style="69" customWidth="1"/>
    <col min="9" max="9" width="5.6640625" style="69" customWidth="1"/>
    <col min="10" max="10" width="5.88671875" style="69" customWidth="1"/>
    <col min="11" max="11" width="12.88671875" style="69" bestFit="1" customWidth="1"/>
    <col min="12" max="12" width="2.5546875" style="69" customWidth="1"/>
    <col min="13" max="13" width="12.44140625" style="69" customWidth="1"/>
    <col min="14" max="14" width="7.88671875" style="69" customWidth="1"/>
    <col min="15" max="15" width="8" style="69" customWidth="1"/>
    <col min="16" max="26" width="12" style="69" customWidth="1"/>
    <col min="27" max="16384" width="14.44140625" style="69"/>
  </cols>
  <sheetData>
    <row r="1" spans="1:26" ht="14.25" customHeight="1">
      <c r="A1" s="463" t="s">
        <v>152</v>
      </c>
      <c r="B1" s="464"/>
      <c r="C1" s="464"/>
      <c r="D1" s="464"/>
      <c r="E1" s="464"/>
      <c r="F1" s="464"/>
      <c r="G1" s="464"/>
      <c r="H1" s="464"/>
      <c r="I1" s="464"/>
      <c r="J1" s="46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thickBot="1">
      <c r="A2" s="2"/>
      <c r="B2" s="3"/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" customHeight="1">
      <c r="A3" s="93"/>
      <c r="B3" s="94" t="s">
        <v>0</v>
      </c>
      <c r="C3" s="94" t="s">
        <v>1</v>
      </c>
      <c r="D3" s="94" t="s">
        <v>2</v>
      </c>
      <c r="E3" s="94" t="s">
        <v>3</v>
      </c>
      <c r="F3" s="94" t="s">
        <v>4</v>
      </c>
      <c r="G3" s="94" t="s">
        <v>5</v>
      </c>
      <c r="H3" s="94" t="s">
        <v>6</v>
      </c>
      <c r="I3" s="94" t="s">
        <v>7</v>
      </c>
      <c r="J3" s="94" t="s">
        <v>8</v>
      </c>
      <c r="K3" s="107" t="s">
        <v>9</v>
      </c>
      <c r="L3" s="119"/>
      <c r="M3" s="121"/>
      <c r="N3" s="8" t="s">
        <v>10</v>
      </c>
      <c r="O3" s="112" t="s">
        <v>11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>
      <c r="A4" s="219" t="s">
        <v>159</v>
      </c>
      <c r="B4" s="220">
        <v>45601</v>
      </c>
      <c r="C4" s="220">
        <v>45748</v>
      </c>
      <c r="D4" s="222" t="s">
        <v>283</v>
      </c>
      <c r="E4" s="222">
        <v>9.6</v>
      </c>
      <c r="F4" s="222">
        <v>0.73</v>
      </c>
      <c r="G4" s="223">
        <f>E4/F4/F4</f>
        <v>18.014636892475135</v>
      </c>
      <c r="H4" s="221" t="s">
        <v>269</v>
      </c>
      <c r="I4" s="222" t="s">
        <v>282</v>
      </c>
      <c r="J4" s="222" t="s">
        <v>282</v>
      </c>
      <c r="K4" s="224" t="s">
        <v>290</v>
      </c>
      <c r="L4" s="59"/>
      <c r="M4" s="111" t="s">
        <v>12</v>
      </c>
      <c r="N4" s="8"/>
      <c r="O4" s="11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415" t="s">
        <v>160</v>
      </c>
      <c r="B5" s="416">
        <v>45365</v>
      </c>
      <c r="C5" s="417"/>
      <c r="D5" s="418"/>
      <c r="E5" s="419"/>
      <c r="F5" s="418"/>
      <c r="G5" s="420" t="e">
        <f t="shared" ref="G5:G11" si="0">E5/(F5*F5)</f>
        <v>#DIV/0!</v>
      </c>
      <c r="H5" s="421"/>
      <c r="I5" s="418"/>
      <c r="J5" s="418"/>
      <c r="K5" s="422"/>
      <c r="L5" s="120"/>
      <c r="M5" s="111" t="s">
        <v>13</v>
      </c>
      <c r="N5" s="8">
        <v>3</v>
      </c>
      <c r="O5" s="112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243" t="s">
        <v>161</v>
      </c>
      <c r="B6" s="244">
        <v>45487</v>
      </c>
      <c r="C6" s="244">
        <v>45748</v>
      </c>
      <c r="D6" s="245" t="s">
        <v>279</v>
      </c>
      <c r="E6" s="102">
        <v>8.5</v>
      </c>
      <c r="F6" s="102">
        <v>0.72</v>
      </c>
      <c r="G6" s="96">
        <f t="shared" si="0"/>
        <v>16.396604938271604</v>
      </c>
      <c r="H6" s="98" t="s">
        <v>274</v>
      </c>
      <c r="I6" s="102" t="s">
        <v>274</v>
      </c>
      <c r="J6" s="102" t="s">
        <v>275</v>
      </c>
      <c r="K6" s="105" t="s">
        <v>287</v>
      </c>
      <c r="L6" s="59"/>
      <c r="M6" s="111" t="s">
        <v>15</v>
      </c>
      <c r="N6" s="8">
        <v>1</v>
      </c>
      <c r="O6" s="112">
        <v>1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thickBot="1">
      <c r="A7" s="219" t="s">
        <v>162</v>
      </c>
      <c r="B7" s="220">
        <v>45328</v>
      </c>
      <c r="C7" s="220">
        <v>45748</v>
      </c>
      <c r="D7" s="227" t="s">
        <v>281</v>
      </c>
      <c r="E7" s="228">
        <v>10.7</v>
      </c>
      <c r="F7" s="228">
        <v>0.79</v>
      </c>
      <c r="G7" s="229">
        <f t="shared" si="0"/>
        <v>17.14468835122576</v>
      </c>
      <c r="H7" s="230" t="s">
        <v>275</v>
      </c>
      <c r="I7" s="228" t="s">
        <v>271</v>
      </c>
      <c r="J7" s="228" t="s">
        <v>271</v>
      </c>
      <c r="K7" s="231" t="s">
        <v>290</v>
      </c>
      <c r="L7" s="59"/>
      <c r="M7" s="113" t="s">
        <v>17</v>
      </c>
      <c r="N7" s="10">
        <v>1</v>
      </c>
      <c r="O7" s="1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219" t="s">
        <v>163</v>
      </c>
      <c r="B8" s="220">
        <v>45411</v>
      </c>
      <c r="C8" s="220">
        <v>45748</v>
      </c>
      <c r="D8" s="229" t="s">
        <v>278</v>
      </c>
      <c r="E8" s="228">
        <v>7.7</v>
      </c>
      <c r="F8" s="228">
        <v>0.69</v>
      </c>
      <c r="G8" s="229">
        <f t="shared" si="0"/>
        <v>16.173072883847933</v>
      </c>
      <c r="H8" s="230" t="s">
        <v>274</v>
      </c>
      <c r="I8" s="228">
        <v>15</v>
      </c>
      <c r="J8" s="228" t="s">
        <v>273</v>
      </c>
      <c r="K8" s="231" t="s">
        <v>290</v>
      </c>
      <c r="L8" s="59"/>
      <c r="M8" s="115" t="s">
        <v>18</v>
      </c>
      <c r="N8" s="116">
        <f>SUM(N5:N7)</f>
        <v>5</v>
      </c>
      <c r="O8" s="117">
        <f>SUM(O5:O7)</f>
        <v>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thickBot="1">
      <c r="A9" s="219" t="s">
        <v>164</v>
      </c>
      <c r="B9" s="220">
        <v>45394</v>
      </c>
      <c r="C9" s="220">
        <v>45748</v>
      </c>
      <c r="D9" s="229" t="s">
        <v>278</v>
      </c>
      <c r="E9" s="228">
        <v>8.6999999999999993</v>
      </c>
      <c r="F9" s="228">
        <v>0.69</v>
      </c>
      <c r="G9" s="229">
        <f t="shared" si="0"/>
        <v>18.273471959672339</v>
      </c>
      <c r="H9" s="230" t="s">
        <v>271</v>
      </c>
      <c r="I9" s="228">
        <v>50</v>
      </c>
      <c r="J9" s="228" t="s">
        <v>273</v>
      </c>
      <c r="K9" s="231" t="s">
        <v>288</v>
      </c>
      <c r="L9" s="59"/>
      <c r="M9" s="118" t="s">
        <v>19</v>
      </c>
      <c r="N9" s="195"/>
      <c r="O9" s="196">
        <f>SUM(N8:O8)</f>
        <v>7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213" t="s">
        <v>165</v>
      </c>
      <c r="B10" s="214">
        <v>45520</v>
      </c>
      <c r="C10" s="220">
        <v>45748</v>
      </c>
      <c r="D10" s="215" t="s">
        <v>284</v>
      </c>
      <c r="E10" s="217">
        <v>9.8000000000000007</v>
      </c>
      <c r="F10" s="217">
        <v>0.68</v>
      </c>
      <c r="G10" s="215">
        <f t="shared" si="0"/>
        <v>21.193771626297575</v>
      </c>
      <c r="H10" s="216" t="s">
        <v>282</v>
      </c>
      <c r="I10" s="217" t="s">
        <v>269</v>
      </c>
      <c r="J10" s="217" t="s">
        <v>275</v>
      </c>
      <c r="K10" s="232" t="s">
        <v>289</v>
      </c>
      <c r="L10" s="59"/>
      <c r="M10" s="115"/>
      <c r="N10" s="116"/>
      <c r="O10" s="11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thickBot="1">
      <c r="A11" s="241" t="s">
        <v>166</v>
      </c>
      <c r="B11" s="242">
        <v>45373</v>
      </c>
      <c r="C11" s="244">
        <v>45748</v>
      </c>
      <c r="D11" s="97" t="s">
        <v>280</v>
      </c>
      <c r="E11" s="97">
        <v>10</v>
      </c>
      <c r="F11" s="103">
        <v>0.74</v>
      </c>
      <c r="G11" s="97">
        <f t="shared" si="0"/>
        <v>18.261504747991236</v>
      </c>
      <c r="H11" s="246">
        <v>85</v>
      </c>
      <c r="I11" s="103" t="s">
        <v>275</v>
      </c>
      <c r="J11" s="103" t="s">
        <v>272</v>
      </c>
      <c r="K11" s="106" t="s">
        <v>288</v>
      </c>
      <c r="L11" s="59"/>
      <c r="M11" s="118"/>
      <c r="N11" s="195"/>
      <c r="O11" s="196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thickBot="1">
      <c r="A12" s="234"/>
      <c r="B12" s="235"/>
      <c r="C12" s="236"/>
      <c r="D12" s="237"/>
      <c r="E12" s="238"/>
      <c r="F12" s="238"/>
      <c r="G12" s="237"/>
      <c r="H12" s="239"/>
      <c r="I12" s="238"/>
      <c r="J12" s="238"/>
      <c r="K12" s="240"/>
      <c r="L12" s="59"/>
      <c r="M12" s="59"/>
      <c r="N12" s="59"/>
      <c r="O12" s="59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J1"/>
  </mergeCells>
  <pageMargins left="0.51181102362204722" right="0.51181102362204722" top="0.78740157480314965" bottom="0.7874015748031496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2F3"/>
  </sheetPr>
  <dimension ref="A1:M1000"/>
  <sheetViews>
    <sheetView topLeftCell="A13" workbookViewId="0">
      <selection activeCell="I46" sqref="I46"/>
    </sheetView>
  </sheetViews>
  <sheetFormatPr defaultColWidth="14.44140625" defaultRowHeight="15" customHeight="1"/>
  <cols>
    <col min="1" max="1" width="11.33203125" customWidth="1"/>
    <col min="2" max="2" width="10.6640625" customWidth="1"/>
    <col min="3" max="3" width="8.6640625" customWidth="1"/>
    <col min="4" max="4" width="6.5546875" customWidth="1"/>
    <col min="5" max="5" width="5.33203125" customWidth="1"/>
    <col min="6" max="6" width="10.6640625" customWidth="1"/>
    <col min="7" max="7" width="2.5546875" customWidth="1"/>
    <col min="8" max="8" width="11.33203125" customWidth="1"/>
    <col min="9" max="9" width="10.44140625" customWidth="1"/>
    <col min="10" max="11" width="8.6640625" customWidth="1"/>
    <col min="12" max="12" width="4.88671875" customWidth="1"/>
    <col min="13" max="13" width="10.44140625" customWidth="1"/>
    <col min="14" max="26" width="8.6640625" customWidth="1"/>
  </cols>
  <sheetData>
    <row r="1" spans="1:13" ht="14.25" customHeight="1">
      <c r="A1" s="13" t="s">
        <v>21</v>
      </c>
      <c r="B1" s="484" t="str">
        <f>'BERÇÁRIO 1'!$A$4</f>
        <v>Ana Tanahashi F. Pereira</v>
      </c>
      <c r="C1" s="485"/>
      <c r="D1" s="486"/>
      <c r="E1" s="14" t="s">
        <v>22</v>
      </c>
      <c r="F1" s="15">
        <f>'BERÇÁRIO 1'!$B$4</f>
        <v>45601</v>
      </c>
      <c r="H1" s="13" t="s">
        <v>21</v>
      </c>
      <c r="I1" s="484" t="e">
        <f>#REF!</f>
        <v>#REF!</v>
      </c>
      <c r="J1" s="485"/>
      <c r="K1" s="486"/>
      <c r="L1" s="14" t="s">
        <v>22</v>
      </c>
      <c r="M1" s="15" t="e">
        <f>#REF!</f>
        <v>#REF!</v>
      </c>
    </row>
    <row r="2" spans="1:13" ht="14.25" customHeight="1">
      <c r="A2" s="466" t="s">
        <v>23</v>
      </c>
      <c r="B2" s="467"/>
      <c r="C2" s="467"/>
      <c r="D2" s="467"/>
      <c r="E2" s="467"/>
      <c r="F2" s="468"/>
      <c r="H2" s="466" t="s">
        <v>23</v>
      </c>
      <c r="I2" s="467"/>
      <c r="J2" s="467"/>
      <c r="K2" s="467"/>
      <c r="L2" s="467"/>
      <c r="M2" s="468"/>
    </row>
    <row r="3" spans="1:13" ht="14.25" customHeight="1">
      <c r="A3" s="16" t="s">
        <v>24</v>
      </c>
      <c r="B3" s="17">
        <f>'BERÇÁRIO 1'!C4</f>
        <v>45748</v>
      </c>
      <c r="C3" s="18" t="s">
        <v>25</v>
      </c>
      <c r="D3" s="469" t="s">
        <v>26</v>
      </c>
      <c r="E3" s="470"/>
      <c r="F3" s="19" t="str">
        <f>'BERÇÁRIO 1'!D4</f>
        <v>4 m</v>
      </c>
      <c r="H3" s="16" t="s">
        <v>24</v>
      </c>
      <c r="I3" s="17" t="e">
        <f>#REF!</f>
        <v>#REF!</v>
      </c>
      <c r="J3" s="18" t="s">
        <v>25</v>
      </c>
      <c r="K3" s="469" t="s">
        <v>26</v>
      </c>
      <c r="L3" s="470"/>
      <c r="M3" s="19" t="e">
        <f>#REF!</f>
        <v>#REF!</v>
      </c>
    </row>
    <row r="4" spans="1:13" ht="14.25" customHeight="1">
      <c r="A4" s="20" t="s">
        <v>3</v>
      </c>
      <c r="B4" s="21">
        <f>'BERÇÁRIO 1'!$E$4</f>
        <v>9.6</v>
      </c>
      <c r="C4" s="21" t="str">
        <f>'BERÇÁRIO 1'!$I$4</f>
        <v>&gt; 99</v>
      </c>
      <c r="D4" s="471"/>
      <c r="E4" s="472"/>
      <c r="F4" s="473"/>
      <c r="H4" s="20" t="s">
        <v>3</v>
      </c>
      <c r="I4" s="22">
        <f>'BERÇÁRIO 1'!$E$4</f>
        <v>9.6</v>
      </c>
      <c r="J4" s="23" t="e">
        <f>#REF!</f>
        <v>#REF!</v>
      </c>
      <c r="K4" s="483"/>
      <c r="L4" s="472"/>
      <c r="M4" s="473"/>
    </row>
    <row r="5" spans="1:13" ht="14.25" customHeight="1">
      <c r="A5" s="20" t="s">
        <v>27</v>
      </c>
      <c r="B5" s="21">
        <f>'BERÇÁRIO 1'!$F$4</f>
        <v>0.73</v>
      </c>
      <c r="C5" s="21" t="str">
        <f>'BERÇÁRIO 1'!$J$4</f>
        <v>&gt; 99</v>
      </c>
      <c r="D5" s="474"/>
      <c r="E5" s="475"/>
      <c r="F5" s="476"/>
      <c r="H5" s="20" t="s">
        <v>27</v>
      </c>
      <c r="I5" s="22">
        <f>'BERÇÁRIO 1'!$F$4</f>
        <v>0.73</v>
      </c>
      <c r="J5" s="23" t="e">
        <f>#REF!</f>
        <v>#REF!</v>
      </c>
      <c r="K5" s="474"/>
      <c r="L5" s="475"/>
      <c r="M5" s="476"/>
    </row>
    <row r="6" spans="1:13" ht="14.25" customHeight="1">
      <c r="A6" s="20" t="s">
        <v>28</v>
      </c>
      <c r="B6" s="21">
        <f>'BERÇÁRIO 1'!$G$4</f>
        <v>18.014636892475135</v>
      </c>
      <c r="C6" s="21" t="str">
        <f>'BERÇÁRIO 1'!$H$4</f>
        <v>75-85</v>
      </c>
      <c r="D6" s="477"/>
      <c r="E6" s="478"/>
      <c r="F6" s="479"/>
      <c r="H6" s="20" t="s">
        <v>29</v>
      </c>
      <c r="I6" s="21">
        <f>'BERÇÁRIO 1'!$G$4</f>
        <v>18.014636892475135</v>
      </c>
      <c r="J6" s="23" t="e">
        <f>#REF!</f>
        <v>#REF!</v>
      </c>
      <c r="K6" s="477"/>
      <c r="L6" s="478"/>
      <c r="M6" s="479"/>
    </row>
    <row r="7" spans="1:13" ht="14.25" customHeight="1">
      <c r="A7" s="24" t="s">
        <v>30</v>
      </c>
      <c r="B7" s="480" t="str">
        <f>'BERÇÁRIO 1'!K4</f>
        <v>ADEQUADO</v>
      </c>
      <c r="C7" s="481"/>
      <c r="D7" s="481"/>
      <c r="E7" s="481"/>
      <c r="F7" s="482"/>
      <c r="H7" s="24" t="s">
        <v>30</v>
      </c>
      <c r="I7" s="480" t="e">
        <f>#REF!</f>
        <v>#REF!</v>
      </c>
      <c r="J7" s="481"/>
      <c r="K7" s="481"/>
      <c r="L7" s="481"/>
      <c r="M7" s="482"/>
    </row>
    <row r="8" spans="1:13" ht="7.5" customHeight="1"/>
    <row r="9" spans="1:13" ht="14.25" customHeight="1">
      <c r="A9" s="13" t="s">
        <v>21</v>
      </c>
      <c r="B9" s="484" t="str">
        <f>'BERÇÁRIO 1'!A5</f>
        <v>Eduardo Luiz D. P. Filho</v>
      </c>
      <c r="C9" s="485"/>
      <c r="D9" s="486"/>
      <c r="E9" s="14" t="s">
        <v>22</v>
      </c>
      <c r="F9" s="15">
        <f>'BERÇÁRIO 1'!B5</f>
        <v>45365</v>
      </c>
      <c r="H9" s="13" t="s">
        <v>21</v>
      </c>
      <c r="I9" s="484" t="e">
        <f>#REF!</f>
        <v>#REF!</v>
      </c>
      <c r="J9" s="485"/>
      <c r="K9" s="486"/>
      <c r="L9" s="14" t="s">
        <v>22</v>
      </c>
      <c r="M9" s="15" t="e">
        <f>#REF!</f>
        <v>#REF!</v>
      </c>
    </row>
    <row r="10" spans="1:13" ht="14.25" customHeight="1">
      <c r="A10" s="466" t="s">
        <v>23</v>
      </c>
      <c r="B10" s="467"/>
      <c r="C10" s="467"/>
      <c r="D10" s="467"/>
      <c r="E10" s="467"/>
      <c r="F10" s="468"/>
      <c r="H10" s="466" t="s">
        <v>23</v>
      </c>
      <c r="I10" s="467"/>
      <c r="J10" s="467"/>
      <c r="K10" s="467"/>
      <c r="L10" s="467"/>
      <c r="M10" s="468"/>
    </row>
    <row r="11" spans="1:13" ht="14.25" customHeight="1">
      <c r="A11" s="16" t="s">
        <v>24</v>
      </c>
      <c r="B11" s="17">
        <f>'BERÇÁRIO 1'!C5</f>
        <v>0</v>
      </c>
      <c r="C11" s="18" t="s">
        <v>25</v>
      </c>
      <c r="D11" s="469" t="s">
        <v>26</v>
      </c>
      <c r="E11" s="470"/>
      <c r="F11" s="19">
        <f>'BERÇÁRIO 1'!D5</f>
        <v>0</v>
      </c>
      <c r="H11" s="16" t="s">
        <v>24</v>
      </c>
      <c r="I11" s="17" t="e">
        <f>#REF!</f>
        <v>#REF!</v>
      </c>
      <c r="J11" s="18" t="s">
        <v>25</v>
      </c>
      <c r="K11" s="469" t="s">
        <v>26</v>
      </c>
      <c r="L11" s="470"/>
      <c r="M11" s="19" t="e">
        <f>#REF!</f>
        <v>#REF!</v>
      </c>
    </row>
    <row r="12" spans="1:13" ht="14.25" customHeight="1">
      <c r="A12" s="20" t="s">
        <v>3</v>
      </c>
      <c r="B12" s="25">
        <f>'BERÇÁRIO 1'!E5</f>
        <v>0</v>
      </c>
      <c r="C12" s="26">
        <f>'BERÇÁRIO 1'!I5</f>
        <v>0</v>
      </c>
      <c r="D12" s="483"/>
      <c r="E12" s="472"/>
      <c r="F12" s="473"/>
      <c r="H12" s="20" t="s">
        <v>3</v>
      </c>
      <c r="I12" s="23" t="e">
        <f>#REF!</f>
        <v>#REF!</v>
      </c>
      <c r="J12" s="23" t="e">
        <f>#REF!</f>
        <v>#REF!</v>
      </c>
      <c r="K12" s="483"/>
      <c r="L12" s="472"/>
      <c r="M12" s="473"/>
    </row>
    <row r="13" spans="1:13" ht="14.25" customHeight="1">
      <c r="A13" s="20" t="s">
        <v>27</v>
      </c>
      <c r="B13" s="21">
        <f>'BERÇÁRIO 1'!F5</f>
        <v>0</v>
      </c>
      <c r="C13" s="26">
        <f>'BERÇÁRIO 1'!J5</f>
        <v>0</v>
      </c>
      <c r="D13" s="474"/>
      <c r="E13" s="475"/>
      <c r="F13" s="476"/>
      <c r="H13" s="20" t="s">
        <v>27</v>
      </c>
      <c r="I13" s="23" t="e">
        <f>#REF!</f>
        <v>#REF!</v>
      </c>
      <c r="J13" s="23" t="e">
        <f>#REF!</f>
        <v>#REF!</v>
      </c>
      <c r="K13" s="474"/>
      <c r="L13" s="475"/>
      <c r="M13" s="476"/>
    </row>
    <row r="14" spans="1:13" ht="14.25" customHeight="1">
      <c r="A14" s="20" t="s">
        <v>31</v>
      </c>
      <c r="B14" s="25" t="e">
        <f>'BERÇÁRIO 1'!G5</f>
        <v>#DIV/0!</v>
      </c>
      <c r="C14" s="26">
        <f>'BERÇÁRIO 1'!H5</f>
        <v>0</v>
      </c>
      <c r="D14" s="477"/>
      <c r="E14" s="478"/>
      <c r="F14" s="479"/>
      <c r="H14" s="20" t="s">
        <v>32</v>
      </c>
      <c r="I14" s="25" t="e">
        <f>#REF!</f>
        <v>#REF!</v>
      </c>
      <c r="J14" s="23" t="e">
        <f>#REF!</f>
        <v>#REF!</v>
      </c>
      <c r="K14" s="477"/>
      <c r="L14" s="478"/>
      <c r="M14" s="479"/>
    </row>
    <row r="15" spans="1:13" ht="14.25" customHeight="1">
      <c r="A15" s="24" t="s">
        <v>30</v>
      </c>
      <c r="B15" s="480">
        <f>'BERÇÁRIO 1'!K5</f>
        <v>0</v>
      </c>
      <c r="C15" s="481"/>
      <c r="D15" s="481"/>
      <c r="E15" s="481"/>
      <c r="F15" s="482"/>
      <c r="H15" s="24" t="s">
        <v>30</v>
      </c>
      <c r="I15" s="480" t="e">
        <f>#REF!</f>
        <v>#REF!</v>
      </c>
      <c r="J15" s="481"/>
      <c r="K15" s="481"/>
      <c r="L15" s="481"/>
      <c r="M15" s="482"/>
    </row>
    <row r="16" spans="1:13" ht="6" customHeight="1"/>
    <row r="17" spans="1:13" ht="14.25" customHeight="1">
      <c r="A17" s="13" t="s">
        <v>21</v>
      </c>
      <c r="B17" s="487" t="str">
        <f>'BERÇÁRIO 1'!A9</f>
        <v>Julia Coda Amieiro</v>
      </c>
      <c r="C17" s="485"/>
      <c r="D17" s="486"/>
      <c r="E17" s="14" t="s">
        <v>22</v>
      </c>
      <c r="F17" s="15">
        <f>'BERÇÁRIO 1'!B9</f>
        <v>45394</v>
      </c>
      <c r="H17" s="13" t="s">
        <v>21</v>
      </c>
      <c r="I17" s="487" t="e">
        <f>'BERÇÁRIO 1'!#REF!</f>
        <v>#REF!</v>
      </c>
      <c r="J17" s="485"/>
      <c r="K17" s="486"/>
      <c r="L17" s="14" t="s">
        <v>22</v>
      </c>
      <c r="M17" s="15" t="e">
        <f>'BERÇÁRIO 1'!#REF!</f>
        <v>#REF!</v>
      </c>
    </row>
    <row r="18" spans="1:13" ht="14.25" customHeight="1">
      <c r="A18" s="466" t="s">
        <v>23</v>
      </c>
      <c r="B18" s="467"/>
      <c r="C18" s="467"/>
      <c r="D18" s="467"/>
      <c r="E18" s="467"/>
      <c r="F18" s="468"/>
      <c r="H18" s="466" t="s">
        <v>23</v>
      </c>
      <c r="I18" s="467"/>
      <c r="J18" s="467"/>
      <c r="K18" s="467"/>
      <c r="L18" s="467"/>
      <c r="M18" s="468"/>
    </row>
    <row r="19" spans="1:13" ht="14.25" customHeight="1">
      <c r="A19" s="16" t="s">
        <v>24</v>
      </c>
      <c r="B19" s="17">
        <f>'BERÇÁRIO 1'!C9</f>
        <v>45748</v>
      </c>
      <c r="C19" s="18" t="s">
        <v>25</v>
      </c>
      <c r="D19" s="469" t="s">
        <v>33</v>
      </c>
      <c r="E19" s="470"/>
      <c r="F19" s="19" t="str">
        <f>'BERÇÁRIO 1'!D9</f>
        <v>11 m</v>
      </c>
      <c r="H19" s="16" t="s">
        <v>24</v>
      </c>
      <c r="I19" s="17" t="e">
        <f>#REF!</f>
        <v>#REF!</v>
      </c>
      <c r="J19" s="18" t="s">
        <v>25</v>
      </c>
      <c r="K19" s="469" t="s">
        <v>26</v>
      </c>
      <c r="L19" s="470"/>
      <c r="M19" s="19" t="e">
        <f>'BERÇÁRIO 1'!#REF!</f>
        <v>#REF!</v>
      </c>
    </row>
    <row r="20" spans="1:13" ht="14.25" customHeight="1">
      <c r="A20" s="20" t="s">
        <v>3</v>
      </c>
      <c r="B20" s="23">
        <f>'BERÇÁRIO 1'!E9</f>
        <v>8.6999999999999993</v>
      </c>
      <c r="C20" s="26">
        <f>'BERÇÁRIO 1'!I9</f>
        <v>50</v>
      </c>
      <c r="D20" s="483"/>
      <c r="E20" s="472"/>
      <c r="F20" s="473"/>
      <c r="H20" s="20" t="s">
        <v>3</v>
      </c>
      <c r="I20" s="23" t="e">
        <f>'BERÇÁRIO 1'!#REF!</f>
        <v>#REF!</v>
      </c>
      <c r="J20" s="26" t="e">
        <f>'BERÇÁRIO 1'!#REF!</f>
        <v>#REF!</v>
      </c>
      <c r="K20" s="483"/>
      <c r="L20" s="472"/>
      <c r="M20" s="473"/>
    </row>
    <row r="21" spans="1:13" ht="14.25" customHeight="1">
      <c r="A21" s="20" t="s">
        <v>27</v>
      </c>
      <c r="B21" s="21">
        <f>'BERÇÁRIO 1'!F9</f>
        <v>0.69</v>
      </c>
      <c r="C21" s="26" t="str">
        <f>'BERÇÁRIO 1'!J9</f>
        <v>5-15.</v>
      </c>
      <c r="D21" s="474"/>
      <c r="E21" s="475"/>
      <c r="F21" s="476"/>
      <c r="H21" s="20" t="s">
        <v>27</v>
      </c>
      <c r="I21" s="23" t="e">
        <f>'BERÇÁRIO 1'!#REF!</f>
        <v>#REF!</v>
      </c>
      <c r="J21" s="26" t="e">
        <f>'BERÇÁRIO 1'!#REF!</f>
        <v>#REF!</v>
      </c>
      <c r="K21" s="474"/>
      <c r="L21" s="475"/>
      <c r="M21" s="476"/>
    </row>
    <row r="22" spans="1:13" ht="14.25" customHeight="1">
      <c r="A22" s="20" t="s">
        <v>34</v>
      </c>
      <c r="B22" s="25">
        <f>'BERÇÁRIO 1'!G9</f>
        <v>18.273471959672339</v>
      </c>
      <c r="C22" s="26" t="str">
        <f>'BERÇÁRIO 1'!H9</f>
        <v>85-95</v>
      </c>
      <c r="D22" s="477"/>
      <c r="E22" s="478"/>
      <c r="F22" s="479"/>
      <c r="H22" s="20" t="s">
        <v>35</v>
      </c>
      <c r="I22" s="25" t="e">
        <f>'BERÇÁRIO 1'!#REF!</f>
        <v>#REF!</v>
      </c>
      <c r="J22" s="26" t="e">
        <f>'BERÇÁRIO 1'!#REF!</f>
        <v>#REF!</v>
      </c>
      <c r="K22" s="477"/>
      <c r="L22" s="478"/>
      <c r="M22" s="479"/>
    </row>
    <row r="23" spans="1:13" ht="14.25" customHeight="1">
      <c r="A23" s="24" t="s">
        <v>30</v>
      </c>
      <c r="B23" s="480" t="str">
        <f>'BERÇÁRIO 1'!K9</f>
        <v>SOBREPESO</v>
      </c>
      <c r="C23" s="481"/>
      <c r="D23" s="481"/>
      <c r="E23" s="481"/>
      <c r="F23" s="482"/>
      <c r="H23" s="24" t="s">
        <v>30</v>
      </c>
      <c r="I23" s="480" t="e">
        <f>'BERÇÁRIO 1'!#REF!</f>
        <v>#REF!</v>
      </c>
      <c r="J23" s="481"/>
      <c r="K23" s="481"/>
      <c r="L23" s="481"/>
      <c r="M23" s="482"/>
    </row>
    <row r="24" spans="1:13" ht="8.25" customHeight="1"/>
    <row r="25" spans="1:13" ht="14.25" customHeight="1">
      <c r="A25" s="13" t="s">
        <v>21</v>
      </c>
      <c r="B25" s="488" t="str">
        <f>'BERÇÁRIO 1'!A10</f>
        <v>Louise Oliveira Starke</v>
      </c>
      <c r="C25" s="485"/>
      <c r="D25" s="486"/>
      <c r="E25" s="14" t="s">
        <v>22</v>
      </c>
      <c r="F25" s="15">
        <f>'BERÇÁRIO 1'!B10</f>
        <v>45520</v>
      </c>
      <c r="H25" s="13" t="s">
        <v>21</v>
      </c>
      <c r="I25" s="484" t="e">
        <f>'BERÇÁRIO 1'!#REF!</f>
        <v>#REF!</v>
      </c>
      <c r="J25" s="485"/>
      <c r="K25" s="486"/>
      <c r="L25" s="14" t="s">
        <v>22</v>
      </c>
      <c r="M25" s="15" t="e">
        <f>'BERÇÁRIO 1'!#REF!</f>
        <v>#REF!</v>
      </c>
    </row>
    <row r="26" spans="1:13" ht="14.25" customHeight="1">
      <c r="A26" s="466" t="s">
        <v>23</v>
      </c>
      <c r="B26" s="467"/>
      <c r="C26" s="467"/>
      <c r="D26" s="467"/>
      <c r="E26" s="467"/>
      <c r="F26" s="468"/>
      <c r="H26" s="466" t="s">
        <v>23</v>
      </c>
      <c r="I26" s="467"/>
      <c r="J26" s="467"/>
      <c r="K26" s="467"/>
      <c r="L26" s="467"/>
      <c r="M26" s="468"/>
    </row>
    <row r="27" spans="1:13" ht="14.25" customHeight="1">
      <c r="A27" s="16" t="s">
        <v>24</v>
      </c>
      <c r="B27" s="17">
        <f>'BERÇÁRIO 1'!C12</f>
        <v>0</v>
      </c>
      <c r="C27" s="18" t="s">
        <v>25</v>
      </c>
      <c r="D27" s="469" t="s">
        <v>26</v>
      </c>
      <c r="E27" s="470"/>
      <c r="F27" s="19" t="str">
        <f>'BERÇÁRIO 1'!D10</f>
        <v>7 m</v>
      </c>
      <c r="H27" s="16" t="s">
        <v>24</v>
      </c>
      <c r="I27" s="17" t="e">
        <f>'BERÇÁRIO 1'!#REF!</f>
        <v>#REF!</v>
      </c>
      <c r="J27" s="18" t="s">
        <v>25</v>
      </c>
      <c r="K27" s="469" t="s">
        <v>26</v>
      </c>
      <c r="L27" s="470"/>
      <c r="M27" s="19" t="e">
        <f>'BERÇÁRIO 1'!#REF!</f>
        <v>#REF!</v>
      </c>
    </row>
    <row r="28" spans="1:13" ht="14.25" customHeight="1">
      <c r="A28" s="20" t="s">
        <v>3</v>
      </c>
      <c r="B28" s="21">
        <f>'BERÇÁRIO 1'!E10</f>
        <v>9.8000000000000007</v>
      </c>
      <c r="C28" s="21" t="str">
        <f>'BERÇÁRIO 1'!I10</f>
        <v>75-85</v>
      </c>
      <c r="D28" s="483"/>
      <c r="E28" s="472"/>
      <c r="F28" s="473"/>
      <c r="H28" s="20" t="s">
        <v>3</v>
      </c>
      <c r="I28" s="23" t="e">
        <f>'BERÇÁRIO 1'!#REF!</f>
        <v>#REF!</v>
      </c>
      <c r="J28" s="23" t="e">
        <f>'BERÇÁRIO 1'!#REF!</f>
        <v>#REF!</v>
      </c>
      <c r="K28" s="483"/>
      <c r="L28" s="472"/>
      <c r="M28" s="473"/>
    </row>
    <row r="29" spans="1:13" ht="14.25" customHeight="1">
      <c r="A29" s="20" t="s">
        <v>27</v>
      </c>
      <c r="B29" s="21">
        <f>'BERÇÁRIO 1'!F10</f>
        <v>0.68</v>
      </c>
      <c r="C29" s="26" t="str">
        <f>'BERÇÁRIO 1'!J10</f>
        <v>50-75</v>
      </c>
      <c r="D29" s="474"/>
      <c r="E29" s="475"/>
      <c r="F29" s="476"/>
      <c r="H29" s="20" t="s">
        <v>27</v>
      </c>
      <c r="I29" s="23" t="e">
        <f>'BERÇÁRIO 1'!#REF!</f>
        <v>#REF!</v>
      </c>
      <c r="J29" s="23" t="e">
        <f>'BERÇÁRIO 1'!#REF!</f>
        <v>#REF!</v>
      </c>
      <c r="K29" s="474"/>
      <c r="L29" s="475"/>
      <c r="M29" s="476"/>
    </row>
    <row r="30" spans="1:13" ht="14.25" customHeight="1">
      <c r="A30" s="20" t="s">
        <v>36</v>
      </c>
      <c r="B30" s="21">
        <f>'BERÇÁRIO 1'!G10</f>
        <v>21.193771626297575</v>
      </c>
      <c r="C30" s="21" t="str">
        <f>'BERÇÁRIO 1'!H10</f>
        <v>&gt; 99</v>
      </c>
      <c r="D30" s="477"/>
      <c r="E30" s="478"/>
      <c r="F30" s="479"/>
      <c r="H30" s="20" t="s">
        <v>37</v>
      </c>
      <c r="I30" s="25" t="e">
        <f>'BERÇÁRIO 1'!#REF!</f>
        <v>#REF!</v>
      </c>
      <c r="J30" s="23" t="e">
        <f>'BERÇÁRIO 1'!#REF!</f>
        <v>#REF!</v>
      </c>
      <c r="K30" s="477"/>
      <c r="L30" s="478"/>
      <c r="M30" s="479"/>
    </row>
    <row r="31" spans="1:13" ht="14.25" customHeight="1">
      <c r="A31" s="24" t="s">
        <v>30</v>
      </c>
      <c r="B31" s="480" t="str">
        <f>'BERÇÁRIO 1'!K10</f>
        <v>OBESIDADE</v>
      </c>
      <c r="C31" s="481"/>
      <c r="D31" s="481"/>
      <c r="E31" s="481"/>
      <c r="F31" s="482"/>
      <c r="H31" s="24" t="s">
        <v>30</v>
      </c>
      <c r="I31" s="480" t="e">
        <f>'BERÇÁRIO 1'!#REF!</f>
        <v>#REF!</v>
      </c>
      <c r="J31" s="481"/>
      <c r="K31" s="481"/>
      <c r="L31" s="481"/>
      <c r="M31" s="482"/>
    </row>
    <row r="32" spans="1:13" ht="14.25" customHeight="1"/>
    <row r="33" spans="1:13" ht="14.25" customHeight="1">
      <c r="A33" s="13" t="s">
        <v>21</v>
      </c>
      <c r="B33" s="488">
        <f>'BERÇÁRIO 1'!A12</f>
        <v>0</v>
      </c>
      <c r="C33" s="485"/>
      <c r="D33" s="486"/>
      <c r="E33" s="14" t="s">
        <v>22</v>
      </c>
      <c r="F33" s="15">
        <f>'BERÇÁRIO 1'!B12</f>
        <v>0</v>
      </c>
      <c r="H33" s="13" t="s">
        <v>21</v>
      </c>
      <c r="I33" s="487" t="e">
        <f>'BERÇÁRIO 1'!#REF!</f>
        <v>#REF!</v>
      </c>
      <c r="J33" s="485"/>
      <c r="K33" s="486"/>
      <c r="L33" s="14" t="s">
        <v>22</v>
      </c>
      <c r="M33" s="15" t="e">
        <f>'BERÇÁRIO 1'!#REF!</f>
        <v>#REF!</v>
      </c>
    </row>
    <row r="34" spans="1:13" ht="14.25" customHeight="1">
      <c r="A34" s="466" t="s">
        <v>23</v>
      </c>
      <c r="B34" s="467"/>
      <c r="C34" s="467"/>
      <c r="D34" s="467"/>
      <c r="E34" s="467"/>
      <c r="F34" s="468"/>
      <c r="H34" s="466" t="s">
        <v>23</v>
      </c>
      <c r="I34" s="467"/>
      <c r="J34" s="467"/>
      <c r="K34" s="467"/>
      <c r="L34" s="467"/>
      <c r="M34" s="468"/>
    </row>
    <row r="35" spans="1:13" ht="14.25" customHeight="1">
      <c r="A35" s="16" t="s">
        <v>24</v>
      </c>
      <c r="B35" s="17">
        <f>'BERÇÁRIO 1'!C12</f>
        <v>0</v>
      </c>
      <c r="C35" s="18" t="s">
        <v>25</v>
      </c>
      <c r="D35" s="469" t="s">
        <v>26</v>
      </c>
      <c r="E35" s="470"/>
      <c r="F35" s="19">
        <f>'BERÇÁRIO 1'!D12</f>
        <v>0</v>
      </c>
      <c r="H35" s="16" t="s">
        <v>24</v>
      </c>
      <c r="I35" s="17" t="e">
        <f>'BERÇÁRIO 1'!#REF!</f>
        <v>#REF!</v>
      </c>
      <c r="J35" s="18" t="s">
        <v>25</v>
      </c>
      <c r="K35" s="469" t="s">
        <v>26</v>
      </c>
      <c r="L35" s="470"/>
      <c r="M35" s="19" t="e">
        <f>'BERÇÁRIO 1'!#REF!</f>
        <v>#REF!</v>
      </c>
    </row>
    <row r="36" spans="1:13" ht="14.25" customHeight="1">
      <c r="A36" s="20" t="s">
        <v>3</v>
      </c>
      <c r="B36" s="23">
        <f>'BERÇÁRIO 1'!E12</f>
        <v>0</v>
      </c>
      <c r="C36" s="27">
        <f>'BERÇÁRIO 1'!I12</f>
        <v>0</v>
      </c>
      <c r="D36" s="483"/>
      <c r="E36" s="472"/>
      <c r="F36" s="473"/>
      <c r="H36" s="20" t="s">
        <v>3</v>
      </c>
      <c r="I36" s="25" t="e">
        <f>'BERÇÁRIO 1'!#REF!</f>
        <v>#REF!</v>
      </c>
      <c r="J36" s="23" t="e">
        <f>'BERÇÁRIO 1'!#REF!</f>
        <v>#REF!</v>
      </c>
      <c r="K36" s="471"/>
      <c r="L36" s="472"/>
      <c r="M36" s="473"/>
    </row>
    <row r="37" spans="1:13" ht="14.25" customHeight="1">
      <c r="A37" s="20" t="s">
        <v>27</v>
      </c>
      <c r="B37" s="23">
        <f>'BERÇÁRIO 1'!F12</f>
        <v>0</v>
      </c>
      <c r="C37" s="23">
        <f>'BERÇÁRIO 1'!J12</f>
        <v>0</v>
      </c>
      <c r="D37" s="474"/>
      <c r="E37" s="475"/>
      <c r="F37" s="476"/>
      <c r="H37" s="20" t="s">
        <v>27</v>
      </c>
      <c r="I37" s="23" t="e">
        <f>'BERÇÁRIO 1'!#REF!</f>
        <v>#REF!</v>
      </c>
      <c r="J37" s="23" t="e">
        <f>'BERÇÁRIO 1'!#REF!</f>
        <v>#REF!</v>
      </c>
      <c r="K37" s="474"/>
      <c r="L37" s="475"/>
      <c r="M37" s="476"/>
    </row>
    <row r="38" spans="1:13" ht="14.25" customHeight="1">
      <c r="A38" s="20" t="s">
        <v>38</v>
      </c>
      <c r="B38" s="25">
        <f>'BERÇÁRIO 1'!G12</f>
        <v>0</v>
      </c>
      <c r="C38" s="26">
        <f>'BERÇÁRIO 1'!H12</f>
        <v>0</v>
      </c>
      <c r="D38" s="477"/>
      <c r="E38" s="478"/>
      <c r="F38" s="479"/>
      <c r="H38" s="20" t="s">
        <v>39</v>
      </c>
      <c r="I38" s="25" t="e">
        <f>'BERÇÁRIO 1'!#REF!</f>
        <v>#REF!</v>
      </c>
      <c r="J38" s="23" t="e">
        <f>'BERÇÁRIO 1'!#REF!</f>
        <v>#REF!</v>
      </c>
      <c r="K38" s="477"/>
      <c r="L38" s="478"/>
      <c r="M38" s="479"/>
    </row>
    <row r="39" spans="1:13" ht="14.25" customHeight="1">
      <c r="A39" s="24" t="s">
        <v>30</v>
      </c>
      <c r="B39" s="480">
        <f>'BERÇÁRIO 1'!K12</f>
        <v>0</v>
      </c>
      <c r="C39" s="481"/>
      <c r="D39" s="481"/>
      <c r="E39" s="481"/>
      <c r="F39" s="482"/>
      <c r="H39" s="24" t="s">
        <v>30</v>
      </c>
      <c r="I39" s="480" t="e">
        <f>'BERÇÁRIO 1'!#REF!</f>
        <v>#REF!</v>
      </c>
      <c r="J39" s="481"/>
      <c r="K39" s="481"/>
      <c r="L39" s="481"/>
      <c r="M39" s="482"/>
    </row>
    <row r="40" spans="1:13" ht="14.25" customHeight="1"/>
    <row r="41" spans="1:13" ht="14.25" customHeight="1"/>
    <row r="42" spans="1:13" ht="14.25" customHeight="1"/>
    <row r="43" spans="1:13" ht="14.25" customHeight="1"/>
    <row r="44" spans="1:13" ht="14.25" customHeight="1"/>
    <row r="45" spans="1:13" ht="14.25" customHeight="1"/>
    <row r="46" spans="1:13" ht="14.25" customHeight="1"/>
    <row r="47" spans="1:13" ht="14.25" customHeight="1"/>
    <row r="48" spans="1:1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0">
    <mergeCell ref="B1:D1"/>
    <mergeCell ref="I1:K1"/>
    <mergeCell ref="A2:F2"/>
    <mergeCell ref="H2:M2"/>
    <mergeCell ref="D3:E3"/>
    <mergeCell ref="K3:L3"/>
    <mergeCell ref="K4:M6"/>
    <mergeCell ref="D4:F6"/>
    <mergeCell ref="B7:F7"/>
    <mergeCell ref="B9:D9"/>
    <mergeCell ref="A10:F10"/>
    <mergeCell ref="D11:E11"/>
    <mergeCell ref="D12:F14"/>
    <mergeCell ref="B15:F15"/>
    <mergeCell ref="I7:M7"/>
    <mergeCell ref="I9:K9"/>
    <mergeCell ref="H10:M10"/>
    <mergeCell ref="K11:L11"/>
    <mergeCell ref="K12:M14"/>
    <mergeCell ref="I15:M15"/>
    <mergeCell ref="I17:K17"/>
    <mergeCell ref="D27:E27"/>
    <mergeCell ref="D28:F30"/>
    <mergeCell ref="B31:F31"/>
    <mergeCell ref="B33:D33"/>
    <mergeCell ref="K28:M30"/>
    <mergeCell ref="I31:M31"/>
    <mergeCell ref="I33:K33"/>
    <mergeCell ref="A34:F34"/>
    <mergeCell ref="D35:E35"/>
    <mergeCell ref="D36:F38"/>
    <mergeCell ref="B39:F39"/>
    <mergeCell ref="B17:D17"/>
    <mergeCell ref="A18:F18"/>
    <mergeCell ref="D19:E19"/>
    <mergeCell ref="D20:F22"/>
    <mergeCell ref="B23:F23"/>
    <mergeCell ref="B25:D25"/>
    <mergeCell ref="A26:F26"/>
    <mergeCell ref="H34:M34"/>
    <mergeCell ref="K35:L35"/>
    <mergeCell ref="K36:M38"/>
    <mergeCell ref="I39:M39"/>
    <mergeCell ref="H18:M18"/>
    <mergeCell ref="K19:L19"/>
    <mergeCell ref="K20:M22"/>
    <mergeCell ref="I23:M23"/>
    <mergeCell ref="I25:K25"/>
    <mergeCell ref="H26:M26"/>
    <mergeCell ref="K27:L27"/>
  </mergeCells>
  <pageMargins left="0.51181102362204722" right="0.51181102362204722" top="0.39370078740157483" bottom="0.39370078740157483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4C6E7"/>
  </sheetPr>
  <dimension ref="A1:Z990"/>
  <sheetViews>
    <sheetView workbookViewId="0">
      <selection sqref="A1:K13"/>
    </sheetView>
  </sheetViews>
  <sheetFormatPr defaultColWidth="14.44140625" defaultRowHeight="15" customHeight="1"/>
  <cols>
    <col min="1" max="1" width="30.44140625" customWidth="1"/>
    <col min="2" max="3" width="11.109375" customWidth="1"/>
    <col min="4" max="4" width="6.6640625" customWidth="1"/>
    <col min="5" max="5" width="6.33203125" customWidth="1"/>
    <col min="6" max="6" width="9.6640625" customWidth="1"/>
    <col min="7" max="7" width="8" customWidth="1"/>
    <col min="8" max="8" width="6.33203125" customWidth="1"/>
    <col min="9" max="10" width="5.6640625" customWidth="1"/>
    <col min="11" max="11" width="18" customWidth="1"/>
    <col min="12" max="12" width="3.33203125" customWidth="1"/>
    <col min="13" max="13" width="12.5546875" customWidth="1"/>
    <col min="14" max="14" width="7" customWidth="1"/>
    <col min="15" max="15" width="7.44140625" customWidth="1"/>
    <col min="16" max="26" width="9.109375" customWidth="1"/>
  </cols>
  <sheetData>
    <row r="1" spans="1:26" ht="14.25" customHeight="1" thickBot="1">
      <c r="A1" s="489" t="s">
        <v>153</v>
      </c>
      <c r="B1" s="490"/>
      <c r="C1" s="490"/>
      <c r="D1" s="490"/>
      <c r="E1" s="490"/>
      <c r="F1" s="490"/>
      <c r="G1" s="490"/>
      <c r="H1" s="490"/>
      <c r="I1" s="490"/>
      <c r="J1" s="49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thickBot="1">
      <c r="A2" s="2"/>
      <c r="B2" s="3"/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 customHeight="1">
      <c r="A3" s="70"/>
      <c r="B3" s="71" t="s">
        <v>0</v>
      </c>
      <c r="C3" s="71" t="s">
        <v>1</v>
      </c>
      <c r="D3" s="71" t="s">
        <v>2</v>
      </c>
      <c r="E3" s="71" t="s">
        <v>3</v>
      </c>
      <c r="F3" s="71" t="s">
        <v>4</v>
      </c>
      <c r="G3" s="71" t="s">
        <v>5</v>
      </c>
      <c r="H3" s="71" t="s">
        <v>6</v>
      </c>
      <c r="I3" s="71" t="s">
        <v>7</v>
      </c>
      <c r="J3" s="71" t="s">
        <v>8</v>
      </c>
      <c r="K3" s="72" t="s">
        <v>9</v>
      </c>
      <c r="L3" s="7"/>
      <c r="M3" s="108"/>
      <c r="N3" s="109" t="s">
        <v>10</v>
      </c>
      <c r="O3" s="110" t="s">
        <v>11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>
      <c r="A4" s="423" t="s">
        <v>139</v>
      </c>
      <c r="B4" s="424">
        <v>45199</v>
      </c>
      <c r="C4" s="425"/>
      <c r="D4" s="426"/>
      <c r="E4" s="426"/>
      <c r="F4" s="426"/>
      <c r="G4" s="427" t="e">
        <f t="shared" ref="G4:G9" si="0">E4/(F4*F4)</f>
        <v>#DIV/0!</v>
      </c>
      <c r="H4" s="426"/>
      <c r="I4" s="426"/>
      <c r="J4" s="426"/>
      <c r="K4" s="428"/>
      <c r="L4" s="7"/>
      <c r="M4" s="111" t="s">
        <v>12</v>
      </c>
      <c r="N4" s="8"/>
      <c r="O4" s="112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25" customHeight="1">
      <c r="A5" s="213" t="s">
        <v>167</v>
      </c>
      <c r="B5" s="252">
        <v>45204</v>
      </c>
      <c r="C5" s="220">
        <v>45729</v>
      </c>
      <c r="D5" s="215" t="s">
        <v>230</v>
      </c>
      <c r="E5" s="215">
        <v>10.1</v>
      </c>
      <c r="F5" s="216">
        <v>0.79</v>
      </c>
      <c r="G5" s="215">
        <f t="shared" si="0"/>
        <v>16.183303957699085</v>
      </c>
      <c r="H5" s="217" t="s">
        <v>275</v>
      </c>
      <c r="I5" s="217" t="s">
        <v>275</v>
      </c>
      <c r="J5" s="217" t="s">
        <v>274</v>
      </c>
      <c r="K5" s="218" t="s">
        <v>290</v>
      </c>
      <c r="L5" s="7"/>
      <c r="M5" s="111" t="s">
        <v>13</v>
      </c>
      <c r="N5" s="8">
        <v>2</v>
      </c>
      <c r="O5" s="112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25" customHeight="1">
      <c r="A6" s="213" t="s">
        <v>168</v>
      </c>
      <c r="B6" s="253">
        <v>45167</v>
      </c>
      <c r="C6" s="220">
        <v>45729</v>
      </c>
      <c r="D6" s="215" t="s">
        <v>231</v>
      </c>
      <c r="E6" s="215">
        <v>10.7</v>
      </c>
      <c r="F6" s="216">
        <v>0.79</v>
      </c>
      <c r="G6" s="215">
        <f t="shared" si="0"/>
        <v>17.14468835122576</v>
      </c>
      <c r="H6" s="217" t="s">
        <v>269</v>
      </c>
      <c r="I6" s="217" t="s">
        <v>275</v>
      </c>
      <c r="J6" s="217" t="s">
        <v>274</v>
      </c>
      <c r="K6" s="218" t="s">
        <v>290</v>
      </c>
      <c r="L6" s="1"/>
      <c r="M6" s="111" t="s">
        <v>15</v>
      </c>
      <c r="N6" s="8"/>
      <c r="O6" s="112">
        <v>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thickBot="1">
      <c r="A7" s="208" t="s">
        <v>14</v>
      </c>
      <c r="B7" s="250">
        <v>45183</v>
      </c>
      <c r="C7" s="209">
        <v>45729</v>
      </c>
      <c r="D7" s="210" t="s">
        <v>231</v>
      </c>
      <c r="E7" s="99">
        <v>13.8</v>
      </c>
      <c r="F7" s="99">
        <v>0.85</v>
      </c>
      <c r="G7" s="75">
        <f t="shared" si="0"/>
        <v>19.100346020761251</v>
      </c>
      <c r="H7" s="99" t="s">
        <v>270</v>
      </c>
      <c r="I7" s="99" t="s">
        <v>270</v>
      </c>
      <c r="J7" s="99" t="s">
        <v>269</v>
      </c>
      <c r="K7" s="211" t="s">
        <v>289</v>
      </c>
      <c r="L7" s="1"/>
      <c r="M7" s="113" t="s">
        <v>17</v>
      </c>
      <c r="N7" s="10"/>
      <c r="O7" s="114">
        <v>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73" t="s">
        <v>140</v>
      </c>
      <c r="B8" s="251">
        <v>45155</v>
      </c>
      <c r="C8" s="209">
        <v>45729</v>
      </c>
      <c r="D8" s="75" t="s">
        <v>231</v>
      </c>
      <c r="E8" s="99">
        <v>10.7</v>
      </c>
      <c r="F8" s="99">
        <v>0.78</v>
      </c>
      <c r="G8" s="75">
        <f t="shared" si="0"/>
        <v>17.587113740959893</v>
      </c>
      <c r="H8" s="99" t="s">
        <v>271</v>
      </c>
      <c r="I8" s="99" t="s">
        <v>274</v>
      </c>
      <c r="J8" s="99" t="s">
        <v>273</v>
      </c>
      <c r="K8" s="211" t="s">
        <v>288</v>
      </c>
      <c r="L8" s="1"/>
      <c r="M8" s="115" t="s">
        <v>18</v>
      </c>
      <c r="N8" s="116">
        <f>SUM(N5:N7)</f>
        <v>2</v>
      </c>
      <c r="O8" s="117">
        <f>SUM(O6:O7)</f>
        <v>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thickBot="1">
      <c r="A9" s="95" t="s">
        <v>142</v>
      </c>
      <c r="B9" s="251">
        <v>45209</v>
      </c>
      <c r="C9" s="209">
        <v>45729</v>
      </c>
      <c r="D9" s="75" t="s">
        <v>230</v>
      </c>
      <c r="E9" s="99">
        <v>11.1</v>
      </c>
      <c r="F9" s="99">
        <v>0.79</v>
      </c>
      <c r="G9" s="75">
        <f t="shared" si="0"/>
        <v>17.785611280243547</v>
      </c>
      <c r="H9" s="99" t="s">
        <v>271</v>
      </c>
      <c r="I9" s="99" t="s">
        <v>275</v>
      </c>
      <c r="J9" s="99" t="s">
        <v>272</v>
      </c>
      <c r="K9" s="211" t="s">
        <v>288</v>
      </c>
      <c r="L9" s="28"/>
      <c r="M9" s="118" t="s">
        <v>19</v>
      </c>
      <c r="N9" s="195"/>
      <c r="O9" s="197">
        <f>SUM(N8:O8)</f>
        <v>5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73"/>
      <c r="B10" s="74"/>
      <c r="C10" s="212"/>
      <c r="D10" s="75"/>
      <c r="E10" s="99"/>
      <c r="F10" s="99"/>
      <c r="G10" s="75"/>
      <c r="H10" s="99"/>
      <c r="I10" s="99"/>
      <c r="J10" s="99"/>
      <c r="K10" s="211"/>
      <c r="L10" s="1"/>
      <c r="M10" s="3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77"/>
      <c r="B11" s="78"/>
      <c r="C11" s="79"/>
      <c r="D11" s="80"/>
      <c r="E11" s="81"/>
      <c r="F11" s="81"/>
      <c r="G11" s="80"/>
      <c r="H11" s="81"/>
      <c r="I11" s="81"/>
      <c r="J11" s="81"/>
      <c r="K11" s="8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01"/>
      <c r="B12" s="88"/>
      <c r="C12" s="91"/>
      <c r="D12" s="97"/>
      <c r="E12" s="90"/>
      <c r="F12" s="92"/>
      <c r="G12" s="89"/>
      <c r="H12" s="90"/>
      <c r="I12" s="103"/>
      <c r="J12" s="103"/>
      <c r="K12" s="10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thickBot="1">
      <c r="A13" s="83"/>
      <c r="B13" s="84"/>
      <c r="C13" s="84"/>
      <c r="D13" s="85"/>
      <c r="E13" s="85"/>
      <c r="F13" s="100"/>
      <c r="G13" s="86"/>
      <c r="H13" s="85"/>
      <c r="I13" s="85"/>
      <c r="J13" s="85"/>
      <c r="K13" s="8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1">
    <mergeCell ref="A1:J1"/>
  </mergeCells>
  <pageMargins left="0.51181102362204722" right="0.51181102362204722" top="0.78740157480314965" bottom="0.78740157480314965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4C6E7"/>
  </sheetPr>
  <dimension ref="A1:M1000"/>
  <sheetViews>
    <sheetView showGridLines="0" workbookViewId="0">
      <selection activeCell="H9" sqref="H9:M15"/>
    </sheetView>
  </sheetViews>
  <sheetFormatPr defaultColWidth="14.44140625" defaultRowHeight="15" customHeight="1"/>
  <cols>
    <col min="1" max="1" width="11.33203125" customWidth="1"/>
    <col min="2" max="2" width="10.6640625" customWidth="1"/>
    <col min="3" max="3" width="8.6640625" customWidth="1"/>
    <col min="4" max="4" width="6.5546875" customWidth="1"/>
    <col min="5" max="5" width="5.33203125" customWidth="1"/>
    <col min="6" max="6" width="10.6640625" customWidth="1"/>
    <col min="7" max="7" width="2.6640625" customWidth="1"/>
    <col min="8" max="8" width="11.33203125" customWidth="1"/>
    <col min="9" max="9" width="10.6640625" customWidth="1"/>
    <col min="10" max="11" width="8.6640625" customWidth="1"/>
    <col min="12" max="12" width="4.88671875" customWidth="1"/>
    <col min="13" max="13" width="10.77734375" bestFit="1" customWidth="1"/>
    <col min="14" max="26" width="8.6640625" customWidth="1"/>
  </cols>
  <sheetData>
    <row r="1" spans="1:13" ht="14.25" customHeight="1">
      <c r="A1" s="13" t="s">
        <v>21</v>
      </c>
      <c r="B1" s="484" t="str">
        <f>'BERÇÁRIO 2'!A4</f>
        <v>Bernardo Enju Orbite</v>
      </c>
      <c r="C1" s="485"/>
      <c r="D1" s="486"/>
      <c r="E1" s="14" t="s">
        <v>22</v>
      </c>
      <c r="F1" s="15">
        <f>'BERÇÁRIO 2'!B4</f>
        <v>45199</v>
      </c>
      <c r="H1" s="13" t="s">
        <v>21</v>
      </c>
      <c r="I1" s="487">
        <f>'BERÇÁRIO 2'!A12</f>
        <v>0</v>
      </c>
      <c r="J1" s="485"/>
      <c r="K1" s="486"/>
      <c r="L1" s="14" t="s">
        <v>22</v>
      </c>
      <c r="M1" s="15">
        <f>'BERÇÁRIO 2'!B12</f>
        <v>0</v>
      </c>
    </row>
    <row r="2" spans="1:13" ht="14.25" customHeight="1">
      <c r="A2" s="466" t="s">
        <v>23</v>
      </c>
      <c r="B2" s="467"/>
      <c r="C2" s="467"/>
      <c r="D2" s="467"/>
      <c r="E2" s="467"/>
      <c r="F2" s="468"/>
      <c r="H2" s="466" t="s">
        <v>23</v>
      </c>
      <c r="I2" s="467"/>
      <c r="J2" s="467"/>
      <c r="K2" s="467"/>
      <c r="L2" s="467"/>
      <c r="M2" s="468"/>
    </row>
    <row r="3" spans="1:13" ht="14.25" customHeight="1">
      <c r="A3" s="16" t="s">
        <v>24</v>
      </c>
      <c r="B3" s="17">
        <f>'BERÇÁRIO 2'!C4</f>
        <v>0</v>
      </c>
      <c r="C3" s="18" t="s">
        <v>25</v>
      </c>
      <c r="D3" s="469" t="s">
        <v>26</v>
      </c>
      <c r="E3" s="470"/>
      <c r="F3" s="19">
        <f>'BERÇÁRIO 2'!D4</f>
        <v>0</v>
      </c>
      <c r="H3" s="16" t="s">
        <v>24</v>
      </c>
      <c r="I3" s="17">
        <f>'BERÇÁRIO 2'!C12</f>
        <v>0</v>
      </c>
      <c r="J3" s="18" t="s">
        <v>25</v>
      </c>
      <c r="K3" s="469" t="s">
        <v>26</v>
      </c>
      <c r="L3" s="470"/>
      <c r="M3" s="19">
        <f>'BERÇÁRIO 2'!D12</f>
        <v>0</v>
      </c>
    </row>
    <row r="4" spans="1:13" ht="14.25" customHeight="1">
      <c r="A4" s="20" t="s">
        <v>3</v>
      </c>
      <c r="B4" s="23">
        <f>'BERÇÁRIO 2'!E4</f>
        <v>0</v>
      </c>
      <c r="C4" s="26">
        <f>'BERÇÁRIO 2'!$I$4</f>
        <v>0</v>
      </c>
      <c r="D4" s="471"/>
      <c r="E4" s="472"/>
      <c r="F4" s="473"/>
      <c r="H4" s="20" t="s">
        <v>3</v>
      </c>
      <c r="I4" s="23">
        <f>'BERÇÁRIO 2'!E12</f>
        <v>0</v>
      </c>
      <c r="J4" s="26">
        <f>'BERÇÁRIO 2'!I12</f>
        <v>0</v>
      </c>
      <c r="K4" s="483"/>
      <c r="L4" s="472"/>
      <c r="M4" s="473"/>
    </row>
    <row r="5" spans="1:13" ht="14.25" customHeight="1">
      <c r="A5" s="20" t="s">
        <v>27</v>
      </c>
      <c r="B5" s="21">
        <f>'BERÇÁRIO 2'!F4</f>
        <v>0</v>
      </c>
      <c r="C5" s="26">
        <f>'BERÇÁRIO 2'!$J$4</f>
        <v>0</v>
      </c>
      <c r="D5" s="474"/>
      <c r="E5" s="475"/>
      <c r="F5" s="476"/>
      <c r="H5" s="20" t="s">
        <v>27</v>
      </c>
      <c r="I5" s="21">
        <f>'BERÇÁRIO 2'!F12</f>
        <v>0</v>
      </c>
      <c r="J5" s="26">
        <f>'BERÇÁRIO 2'!J12</f>
        <v>0</v>
      </c>
      <c r="K5" s="474"/>
      <c r="L5" s="475"/>
      <c r="M5" s="476"/>
    </row>
    <row r="6" spans="1:13" ht="14.25" customHeight="1">
      <c r="A6" s="20" t="s">
        <v>41</v>
      </c>
      <c r="B6" s="21" t="e">
        <f>'BERÇÁRIO 2'!G4</f>
        <v>#DIV/0!</v>
      </c>
      <c r="C6" s="26">
        <f>'BERÇÁRIO 2'!$H$4</f>
        <v>0</v>
      </c>
      <c r="D6" s="477"/>
      <c r="E6" s="478"/>
      <c r="F6" s="479"/>
      <c r="H6" s="20" t="s">
        <v>42</v>
      </c>
      <c r="I6" s="21">
        <f>'BERÇÁRIO 2'!G12</f>
        <v>0</v>
      </c>
      <c r="J6" s="26">
        <f>'BERÇÁRIO 2'!H12</f>
        <v>0</v>
      </c>
      <c r="K6" s="477"/>
      <c r="L6" s="478"/>
      <c r="M6" s="479"/>
    </row>
    <row r="7" spans="1:13" ht="28.8">
      <c r="A7" s="24" t="s">
        <v>30</v>
      </c>
      <c r="B7" s="480">
        <f>'BERÇÁRIO 2'!K4</f>
        <v>0</v>
      </c>
      <c r="C7" s="481"/>
      <c r="D7" s="481"/>
      <c r="E7" s="481"/>
      <c r="F7" s="482"/>
      <c r="H7" s="24" t="s">
        <v>30</v>
      </c>
      <c r="I7" s="480">
        <f>'BERÇÁRIO 2'!K12</f>
        <v>0</v>
      </c>
      <c r="J7" s="481"/>
      <c r="K7" s="481"/>
      <c r="L7" s="481"/>
      <c r="M7" s="482"/>
    </row>
    <row r="8" spans="1:13" ht="7.5" customHeight="1"/>
    <row r="9" spans="1:13" ht="14.25" customHeight="1">
      <c r="A9" s="13" t="s">
        <v>21</v>
      </c>
      <c r="B9" s="487" t="str">
        <f>'BERÇÁRIO 2'!A5</f>
        <v>Bianca Simioni Cavalieri</v>
      </c>
      <c r="C9" s="485"/>
      <c r="D9" s="486"/>
      <c r="E9" s="14" t="s">
        <v>22</v>
      </c>
      <c r="F9" s="15">
        <f>'BERÇÁRIO 2'!B5</f>
        <v>45204</v>
      </c>
      <c r="H9" s="13" t="s">
        <v>21</v>
      </c>
      <c r="I9" s="487">
        <f>'BERÇÁRIO 2'!A13</f>
        <v>0</v>
      </c>
      <c r="J9" s="485"/>
      <c r="K9" s="486"/>
      <c r="L9" s="14" t="s">
        <v>22</v>
      </c>
      <c r="M9" s="15">
        <f>'BERÇÁRIO 2'!B13</f>
        <v>0</v>
      </c>
    </row>
    <row r="10" spans="1:13" ht="14.25" customHeight="1">
      <c r="A10" s="466" t="s">
        <v>23</v>
      </c>
      <c r="B10" s="467"/>
      <c r="C10" s="467"/>
      <c r="D10" s="467"/>
      <c r="E10" s="467"/>
      <c r="F10" s="468"/>
      <c r="H10" s="466" t="s">
        <v>23</v>
      </c>
      <c r="I10" s="467"/>
      <c r="J10" s="467"/>
      <c r="K10" s="467"/>
      <c r="L10" s="467"/>
      <c r="M10" s="468"/>
    </row>
    <row r="11" spans="1:13" ht="14.25" customHeight="1">
      <c r="A11" s="16" t="s">
        <v>24</v>
      </c>
      <c r="B11" s="17">
        <f>'BERÇÁRIO 2'!C5</f>
        <v>45729</v>
      </c>
      <c r="C11" s="18" t="s">
        <v>25</v>
      </c>
      <c r="D11" s="469" t="s">
        <v>26</v>
      </c>
      <c r="E11" s="470"/>
      <c r="F11" s="19" t="str">
        <f>'BERÇÁRIO 2'!D5</f>
        <v>1a 5m</v>
      </c>
      <c r="H11" s="16" t="s">
        <v>24</v>
      </c>
      <c r="I11" s="17">
        <f>'BERÇÁRIO 2'!C13</f>
        <v>0</v>
      </c>
      <c r="J11" s="18" t="s">
        <v>25</v>
      </c>
      <c r="K11" s="469" t="s">
        <v>26</v>
      </c>
      <c r="L11" s="470"/>
      <c r="M11" s="19">
        <f>'BERÇÁRIO 2'!D13</f>
        <v>0</v>
      </c>
    </row>
    <row r="12" spans="1:13" ht="14.25" customHeight="1">
      <c r="A12" s="20" t="s">
        <v>3</v>
      </c>
      <c r="B12" s="23">
        <f>'BERÇÁRIO 2'!E5</f>
        <v>10.1</v>
      </c>
      <c r="C12" s="26" t="str">
        <f>'BERÇÁRIO 2'!I5</f>
        <v>50-75</v>
      </c>
      <c r="D12" s="483"/>
      <c r="E12" s="472"/>
      <c r="F12" s="473"/>
      <c r="H12" s="20" t="s">
        <v>3</v>
      </c>
      <c r="I12" s="23">
        <f>'BERÇÁRIO 2'!E13</f>
        <v>0</v>
      </c>
      <c r="J12" s="26">
        <f>'BERÇÁRIO 2'!I13</f>
        <v>0</v>
      </c>
      <c r="K12" s="483"/>
      <c r="L12" s="472"/>
      <c r="M12" s="473"/>
    </row>
    <row r="13" spans="1:13" ht="14.25" customHeight="1">
      <c r="A13" s="20" t="s">
        <v>27</v>
      </c>
      <c r="B13" s="21">
        <f>'BERÇÁRIO 2'!F5</f>
        <v>0.79</v>
      </c>
      <c r="C13" s="31" t="str">
        <f>'BERÇÁRIO 2'!J5</f>
        <v>25-50</v>
      </c>
      <c r="D13" s="474"/>
      <c r="E13" s="475"/>
      <c r="F13" s="476"/>
      <c r="H13" s="20" t="s">
        <v>27</v>
      </c>
      <c r="I13" s="21">
        <f>'BERÇÁRIO 2'!F13</f>
        <v>0</v>
      </c>
      <c r="J13" s="26">
        <f>'BERÇÁRIO 2'!J13</f>
        <v>0</v>
      </c>
      <c r="K13" s="474"/>
      <c r="L13" s="475"/>
      <c r="M13" s="476"/>
    </row>
    <row r="14" spans="1:13" ht="14.25" customHeight="1">
      <c r="A14" s="20" t="s">
        <v>43</v>
      </c>
      <c r="B14" s="25">
        <f>'BERÇÁRIO 2'!G5</f>
        <v>16.183303957699085</v>
      </c>
      <c r="C14" s="26" t="str">
        <f>'BERÇÁRIO 2'!H5</f>
        <v>50-75</v>
      </c>
      <c r="D14" s="477"/>
      <c r="E14" s="478"/>
      <c r="F14" s="479"/>
      <c r="H14" s="20" t="s">
        <v>28</v>
      </c>
      <c r="I14" s="21">
        <f>'BERÇÁRIO 2'!G13</f>
        <v>0</v>
      </c>
      <c r="J14" s="26">
        <f>'BERÇÁRIO 2'!H13</f>
        <v>0</v>
      </c>
      <c r="K14" s="477"/>
      <c r="L14" s="478"/>
      <c r="M14" s="479"/>
    </row>
    <row r="15" spans="1:13" ht="28.8">
      <c r="A15" s="24" t="s">
        <v>30</v>
      </c>
      <c r="B15" s="480" t="str">
        <f>'BERÇÁRIO 2'!K5</f>
        <v>ADEQUADO</v>
      </c>
      <c r="C15" s="481"/>
      <c r="D15" s="481"/>
      <c r="E15" s="481"/>
      <c r="F15" s="482"/>
      <c r="H15" s="24" t="s">
        <v>30</v>
      </c>
      <c r="I15" s="480">
        <f>'BERÇÁRIO 2'!K13</f>
        <v>0</v>
      </c>
      <c r="J15" s="481"/>
      <c r="K15" s="481"/>
      <c r="L15" s="481"/>
      <c r="M15" s="482"/>
    </row>
    <row r="16" spans="1:13" ht="6" customHeight="1"/>
    <row r="17" spans="1:13" ht="14.25" customHeight="1">
      <c r="A17" s="13" t="s">
        <v>21</v>
      </c>
      <c r="B17" s="488" t="str">
        <f>'BERÇÁRIO 2'!A6</f>
        <v>Clara Mayumi H. Barbosa</v>
      </c>
      <c r="C17" s="485"/>
      <c r="D17" s="486"/>
      <c r="E17" s="14" t="s">
        <v>22</v>
      </c>
      <c r="F17" s="15">
        <f>'BERÇÁRIO 2'!B6</f>
        <v>45167</v>
      </c>
      <c r="H17" s="13" t="s">
        <v>21</v>
      </c>
      <c r="I17" s="487" t="e">
        <f>#REF!</f>
        <v>#REF!</v>
      </c>
      <c r="J17" s="485"/>
      <c r="K17" s="486"/>
      <c r="L17" s="14" t="s">
        <v>22</v>
      </c>
      <c r="M17" s="15" t="e">
        <f>#REF!</f>
        <v>#REF!</v>
      </c>
    </row>
    <row r="18" spans="1:13" ht="14.25" customHeight="1">
      <c r="A18" s="466" t="s">
        <v>23</v>
      </c>
      <c r="B18" s="467"/>
      <c r="C18" s="467"/>
      <c r="D18" s="467"/>
      <c r="E18" s="467"/>
      <c r="F18" s="468"/>
      <c r="H18" s="466" t="s">
        <v>23</v>
      </c>
      <c r="I18" s="467"/>
      <c r="J18" s="467"/>
      <c r="K18" s="467"/>
      <c r="L18" s="467"/>
      <c r="M18" s="468"/>
    </row>
    <row r="19" spans="1:13" ht="14.25" customHeight="1">
      <c r="A19" s="16" t="s">
        <v>24</v>
      </c>
      <c r="B19" s="17">
        <f>'BERÇÁRIO 2'!C6</f>
        <v>45729</v>
      </c>
      <c r="C19" s="18" t="s">
        <v>25</v>
      </c>
      <c r="D19" s="469" t="s">
        <v>33</v>
      </c>
      <c r="E19" s="470"/>
      <c r="F19" s="19" t="str">
        <f>'BERÇÁRIO 2'!D6</f>
        <v>1a 6m</v>
      </c>
      <c r="H19" s="16" t="s">
        <v>24</v>
      </c>
      <c r="I19" s="17" t="e">
        <f>#REF!</f>
        <v>#REF!</v>
      </c>
      <c r="J19" s="18" t="s">
        <v>25</v>
      </c>
      <c r="K19" s="469" t="s">
        <v>26</v>
      </c>
      <c r="L19" s="470"/>
      <c r="M19" s="19" t="e">
        <f>#REF!</f>
        <v>#REF!</v>
      </c>
    </row>
    <row r="20" spans="1:13" ht="14.25" customHeight="1">
      <c r="A20" s="20" t="s">
        <v>3</v>
      </c>
      <c r="B20" s="23">
        <f>'BERÇÁRIO 2'!E6</f>
        <v>10.7</v>
      </c>
      <c r="C20" s="23" t="str">
        <f>'BERÇÁRIO 2'!I6</f>
        <v>50-75</v>
      </c>
      <c r="D20" s="483"/>
      <c r="E20" s="472"/>
      <c r="F20" s="473"/>
      <c r="H20" s="20" t="s">
        <v>3</v>
      </c>
      <c r="I20" s="23" t="e">
        <f>#REF!</f>
        <v>#REF!</v>
      </c>
      <c r="J20" s="26" t="e">
        <f>#REF!</f>
        <v>#REF!</v>
      </c>
      <c r="K20" s="483"/>
      <c r="L20" s="472"/>
      <c r="M20" s="473"/>
    </row>
    <row r="21" spans="1:13" ht="14.25" customHeight="1">
      <c r="A21" s="20" t="s">
        <v>27</v>
      </c>
      <c r="B21" s="21">
        <f>'BERÇÁRIO 2'!F6</f>
        <v>0.79</v>
      </c>
      <c r="C21" s="23" t="str">
        <f>'BERÇÁRIO 2'!J6</f>
        <v>25-50</v>
      </c>
      <c r="D21" s="474"/>
      <c r="E21" s="475"/>
      <c r="F21" s="476"/>
      <c r="H21" s="20" t="s">
        <v>27</v>
      </c>
      <c r="I21" s="23" t="e">
        <f>#REF!</f>
        <v>#REF!</v>
      </c>
      <c r="J21" s="26" t="e">
        <f>#REF!</f>
        <v>#REF!</v>
      </c>
      <c r="K21" s="474"/>
      <c r="L21" s="475"/>
      <c r="M21" s="476"/>
    </row>
    <row r="22" spans="1:13" ht="14.25" customHeight="1">
      <c r="A22" s="20" t="s">
        <v>44</v>
      </c>
      <c r="B22" s="25">
        <f>'BERÇÁRIO 2'!G6</f>
        <v>17.14468835122576</v>
      </c>
      <c r="C22" s="23" t="str">
        <f>'BERÇÁRIO 2'!H6</f>
        <v>75-85</v>
      </c>
      <c r="D22" s="477"/>
      <c r="E22" s="478"/>
      <c r="F22" s="479"/>
      <c r="H22" s="20" t="s">
        <v>45</v>
      </c>
      <c r="I22" s="21" t="e">
        <f>#REF!</f>
        <v>#REF!</v>
      </c>
      <c r="J22" s="26" t="e">
        <f>#REF!</f>
        <v>#REF!</v>
      </c>
      <c r="K22" s="477"/>
      <c r="L22" s="478"/>
      <c r="M22" s="479"/>
    </row>
    <row r="23" spans="1:13" ht="28.8">
      <c r="A23" s="24" t="s">
        <v>30</v>
      </c>
      <c r="B23" s="480" t="str">
        <f>'BERÇÁRIO 2'!K6</f>
        <v>ADEQUADO</v>
      </c>
      <c r="C23" s="481"/>
      <c r="D23" s="481"/>
      <c r="E23" s="481"/>
      <c r="F23" s="482"/>
      <c r="H23" s="24" t="s">
        <v>30</v>
      </c>
      <c r="I23" s="480" t="e">
        <f>#REF!</f>
        <v>#REF!</v>
      </c>
      <c r="J23" s="481"/>
      <c r="K23" s="481"/>
      <c r="L23" s="481"/>
      <c r="M23" s="482"/>
    </row>
    <row r="24" spans="1:13" ht="8.25" customHeight="1"/>
    <row r="25" spans="1:13" ht="14.25" customHeight="1">
      <c r="A25" s="13" t="s">
        <v>21</v>
      </c>
      <c r="B25" s="497" t="str">
        <f>'BERÇÁRIO 2'!A7</f>
        <v>Gael Bello Bittencourt</v>
      </c>
      <c r="C25" s="485"/>
      <c r="D25" s="486"/>
      <c r="E25" s="14" t="s">
        <v>22</v>
      </c>
      <c r="F25" s="15">
        <f>'BERÇÁRIO 2'!B9</f>
        <v>45209</v>
      </c>
      <c r="H25" s="13" t="s">
        <v>21</v>
      </c>
      <c r="I25" s="487" t="e">
        <f>#REF!</f>
        <v>#REF!</v>
      </c>
      <c r="J25" s="485"/>
      <c r="K25" s="486"/>
      <c r="L25" s="14" t="s">
        <v>22</v>
      </c>
      <c r="M25" s="15" t="e">
        <f>#REF!</f>
        <v>#REF!</v>
      </c>
    </row>
    <row r="26" spans="1:13" ht="14.25" customHeight="1">
      <c r="A26" s="466" t="s">
        <v>23</v>
      </c>
      <c r="B26" s="467"/>
      <c r="C26" s="467"/>
      <c r="D26" s="467"/>
      <c r="E26" s="467"/>
      <c r="F26" s="468"/>
      <c r="H26" s="466" t="s">
        <v>23</v>
      </c>
      <c r="I26" s="467"/>
      <c r="J26" s="467"/>
      <c r="K26" s="467"/>
      <c r="L26" s="467"/>
      <c r="M26" s="468"/>
    </row>
    <row r="27" spans="1:13" ht="14.25" customHeight="1">
      <c r="A27" s="16" t="s">
        <v>24</v>
      </c>
      <c r="B27" s="17">
        <f>'BERÇÁRIO 2'!C7</f>
        <v>45729</v>
      </c>
      <c r="C27" s="18" t="s">
        <v>25</v>
      </c>
      <c r="D27" s="469" t="s">
        <v>33</v>
      </c>
      <c r="E27" s="470"/>
      <c r="F27" s="19" t="str">
        <f>'BERÇÁRIO 2'!D9</f>
        <v>1a 5m</v>
      </c>
      <c r="H27" s="16" t="s">
        <v>24</v>
      </c>
      <c r="I27" s="17" t="e">
        <f>#REF!</f>
        <v>#REF!</v>
      </c>
      <c r="J27" s="18" t="s">
        <v>25</v>
      </c>
      <c r="K27" s="469" t="s">
        <v>26</v>
      </c>
      <c r="L27" s="470"/>
      <c r="M27" s="19" t="e">
        <f>#REF!</f>
        <v>#REF!</v>
      </c>
    </row>
    <row r="28" spans="1:13" ht="14.25" customHeight="1">
      <c r="A28" s="20" t="s">
        <v>3</v>
      </c>
      <c r="B28" s="23">
        <f>'BERÇÁRIO 2'!E7</f>
        <v>13.8</v>
      </c>
      <c r="C28" s="23" t="str">
        <f>'BERÇÁRIO 2'!I9</f>
        <v>50-75</v>
      </c>
      <c r="D28" s="483"/>
      <c r="E28" s="472"/>
      <c r="F28" s="473"/>
      <c r="H28" s="20" t="s">
        <v>3</v>
      </c>
      <c r="I28" s="23" t="e">
        <f>#REF!</f>
        <v>#REF!</v>
      </c>
      <c r="J28" s="26" t="e">
        <f>#REF!</f>
        <v>#REF!</v>
      </c>
      <c r="K28" s="483"/>
      <c r="L28" s="472"/>
      <c r="M28" s="473"/>
    </row>
    <row r="29" spans="1:13" ht="14.25" customHeight="1">
      <c r="A29" s="20" t="s">
        <v>27</v>
      </c>
      <c r="B29" s="21">
        <f>'BERÇÁRIO 2'!F7</f>
        <v>0.85</v>
      </c>
      <c r="C29" s="23" t="str">
        <f>'BERÇÁRIO 2'!J9</f>
        <v>15-25</v>
      </c>
      <c r="D29" s="474"/>
      <c r="E29" s="475"/>
      <c r="F29" s="476"/>
      <c r="H29" s="20" t="s">
        <v>27</v>
      </c>
      <c r="I29" s="23" t="e">
        <f>#REF!</f>
        <v>#REF!</v>
      </c>
      <c r="J29" s="26" t="e">
        <f>#REF!</f>
        <v>#REF!</v>
      </c>
      <c r="K29" s="474"/>
      <c r="L29" s="475"/>
      <c r="M29" s="476"/>
    </row>
    <row r="30" spans="1:13" ht="14.25" customHeight="1">
      <c r="A30" s="20" t="s">
        <v>28</v>
      </c>
      <c r="B30" s="25">
        <f>'BERÇÁRIO 2'!G7</f>
        <v>19.100346020761251</v>
      </c>
      <c r="C30" s="23" t="str">
        <f>'BERÇÁRIO 2'!H9</f>
        <v>85-95</v>
      </c>
      <c r="D30" s="477"/>
      <c r="E30" s="478"/>
      <c r="F30" s="479"/>
      <c r="H30" s="20" t="s">
        <v>46</v>
      </c>
      <c r="I30" s="21" t="e">
        <f>#REF!</f>
        <v>#REF!</v>
      </c>
      <c r="J30" s="26" t="e">
        <f>#REF!</f>
        <v>#REF!</v>
      </c>
      <c r="K30" s="477"/>
      <c r="L30" s="478"/>
      <c r="M30" s="479"/>
    </row>
    <row r="31" spans="1:13" ht="27.6" customHeight="1">
      <c r="A31" s="24" t="s">
        <v>30</v>
      </c>
      <c r="B31" s="480" t="str">
        <f>'BERÇÁRIO 2'!K7</f>
        <v>OBESIDADE</v>
      </c>
      <c r="C31" s="481"/>
      <c r="D31" s="481"/>
      <c r="E31" s="481"/>
      <c r="F31" s="482"/>
      <c r="H31" s="24" t="s">
        <v>30</v>
      </c>
      <c r="I31" s="480" t="e">
        <f>#REF!</f>
        <v>#REF!</v>
      </c>
      <c r="J31" s="481"/>
      <c r="K31" s="481"/>
      <c r="L31" s="481"/>
      <c r="M31" s="482"/>
    </row>
    <row r="32" spans="1:13" ht="14.25" customHeight="1"/>
    <row r="33" spans="1:13" ht="14.25" customHeight="1">
      <c r="A33" s="13" t="s">
        <v>21</v>
      </c>
      <c r="B33" s="488" t="str">
        <f>'BERÇÁRIO 2'!A8</f>
        <v>Guilherme Olhê P. Augusto</v>
      </c>
      <c r="C33" s="485"/>
      <c r="D33" s="486"/>
      <c r="E33" s="14" t="s">
        <v>22</v>
      </c>
      <c r="F33" s="15">
        <f>'BERÇÁRIO 2'!B8</f>
        <v>45155</v>
      </c>
      <c r="H33" s="13" t="s">
        <v>21</v>
      </c>
      <c r="I33" s="487" t="e">
        <f>#REF!</f>
        <v>#REF!</v>
      </c>
      <c r="J33" s="485"/>
      <c r="K33" s="486"/>
      <c r="L33" s="14" t="s">
        <v>22</v>
      </c>
      <c r="M33" s="15" t="e">
        <f>#REF!</f>
        <v>#REF!</v>
      </c>
    </row>
    <row r="34" spans="1:13" ht="14.25" customHeight="1">
      <c r="A34" s="466" t="s">
        <v>23</v>
      </c>
      <c r="B34" s="467"/>
      <c r="C34" s="467"/>
      <c r="D34" s="467"/>
      <c r="E34" s="467"/>
      <c r="F34" s="468"/>
      <c r="H34" s="466" t="s">
        <v>23</v>
      </c>
      <c r="I34" s="467"/>
      <c r="J34" s="467"/>
      <c r="K34" s="467"/>
      <c r="L34" s="467"/>
      <c r="M34" s="468"/>
    </row>
    <row r="35" spans="1:13" ht="14.25" customHeight="1">
      <c r="A35" s="16" t="s">
        <v>24</v>
      </c>
      <c r="B35" s="17">
        <f>'BERÇÁRIO 2'!C8</f>
        <v>45729</v>
      </c>
      <c r="C35" s="18" t="s">
        <v>25</v>
      </c>
      <c r="D35" s="469" t="s">
        <v>33</v>
      </c>
      <c r="E35" s="470"/>
      <c r="F35" s="19" t="str">
        <f>'BERÇÁRIO 2'!D8</f>
        <v>1a 6m</v>
      </c>
      <c r="H35" s="16" t="s">
        <v>24</v>
      </c>
      <c r="I35" s="17" t="e">
        <f>#REF!</f>
        <v>#REF!</v>
      </c>
      <c r="J35" s="18" t="s">
        <v>25</v>
      </c>
      <c r="K35" s="469" t="s">
        <v>26</v>
      </c>
      <c r="L35" s="470"/>
      <c r="M35" s="19" t="e">
        <f>#REF!</f>
        <v>#REF!</v>
      </c>
    </row>
    <row r="36" spans="1:13" ht="14.25" customHeight="1">
      <c r="A36" s="20" t="s">
        <v>3</v>
      </c>
      <c r="B36" s="23">
        <f>'BERÇÁRIO 2'!E8</f>
        <v>10.7</v>
      </c>
      <c r="C36" s="23">
        <f>'BERÇÁRIO 2'!I10</f>
        <v>0</v>
      </c>
      <c r="D36" s="483"/>
      <c r="E36" s="472"/>
      <c r="F36" s="473"/>
      <c r="H36" s="20" t="s">
        <v>3</v>
      </c>
      <c r="I36" s="23" t="e">
        <f>#REF!</f>
        <v>#REF!</v>
      </c>
      <c r="J36" s="26" t="e">
        <f>#REF!</f>
        <v>#REF!</v>
      </c>
      <c r="K36" s="483"/>
      <c r="L36" s="472"/>
      <c r="M36" s="473"/>
    </row>
    <row r="37" spans="1:13" ht="14.25" customHeight="1">
      <c r="A37" s="20" t="s">
        <v>27</v>
      </c>
      <c r="B37" s="21">
        <f>'BERÇÁRIO 2'!F8</f>
        <v>0.78</v>
      </c>
      <c r="C37" s="23">
        <f>'BERÇÁRIO 2'!J10</f>
        <v>0</v>
      </c>
      <c r="D37" s="474"/>
      <c r="E37" s="475"/>
      <c r="F37" s="476"/>
      <c r="H37" s="20" t="s">
        <v>27</v>
      </c>
      <c r="I37" s="23" t="e">
        <f>#REF!</f>
        <v>#REF!</v>
      </c>
      <c r="J37" s="26" t="e">
        <f>#REF!</f>
        <v>#REF!</v>
      </c>
      <c r="K37" s="474"/>
      <c r="L37" s="475"/>
      <c r="M37" s="476"/>
    </row>
    <row r="38" spans="1:13" ht="14.25" customHeight="1">
      <c r="A38" s="20" t="s">
        <v>28</v>
      </c>
      <c r="B38" s="25">
        <f>'BERÇÁRIO 2'!G8</f>
        <v>17.587113740959893</v>
      </c>
      <c r="C38" s="23">
        <f>'BERÇÁRIO 2'!H10</f>
        <v>0</v>
      </c>
      <c r="D38" s="477"/>
      <c r="E38" s="478"/>
      <c r="F38" s="479"/>
      <c r="H38" s="20" t="s">
        <v>47</v>
      </c>
      <c r="I38" s="21" t="e">
        <f>#REF!</f>
        <v>#REF!</v>
      </c>
      <c r="J38" s="26" t="e">
        <f>#REF!</f>
        <v>#REF!</v>
      </c>
      <c r="K38" s="477"/>
      <c r="L38" s="478"/>
      <c r="M38" s="479"/>
    </row>
    <row r="39" spans="1:13" ht="28.8">
      <c r="A39" s="24" t="s">
        <v>30</v>
      </c>
      <c r="B39" s="480" t="str">
        <f>'BERÇÁRIO 2'!K8</f>
        <v>SOBREPESO</v>
      </c>
      <c r="C39" s="481"/>
      <c r="D39" s="481"/>
      <c r="E39" s="481"/>
      <c r="F39" s="482"/>
      <c r="H39" s="24" t="s">
        <v>30</v>
      </c>
      <c r="I39" s="480" t="e">
        <f>#REF!</f>
        <v>#REF!</v>
      </c>
      <c r="J39" s="481"/>
      <c r="K39" s="481"/>
      <c r="L39" s="481"/>
      <c r="M39" s="482"/>
    </row>
    <row r="40" spans="1:13" ht="14.25" customHeight="1"/>
    <row r="41" spans="1:13" ht="14.25" customHeight="1">
      <c r="A41" s="13" t="s">
        <v>21</v>
      </c>
      <c r="B41" s="488" t="str">
        <f>'BERÇÁRIO 2'!A9</f>
        <v>Lucas Vieira Cutovoi</v>
      </c>
      <c r="C41" s="485"/>
      <c r="D41" s="486"/>
      <c r="E41" s="14" t="s">
        <v>22</v>
      </c>
      <c r="F41" s="15">
        <f>'BERÇÁRIO 2'!B9</f>
        <v>45209</v>
      </c>
      <c r="H41" s="13" t="s">
        <v>21</v>
      </c>
      <c r="I41" s="487" t="e">
        <f>#REF!</f>
        <v>#REF!</v>
      </c>
      <c r="J41" s="485"/>
      <c r="K41" s="486"/>
      <c r="L41" s="14" t="s">
        <v>22</v>
      </c>
      <c r="M41" s="15" t="e">
        <f>#REF!</f>
        <v>#REF!</v>
      </c>
    </row>
    <row r="42" spans="1:13" ht="14.25" customHeight="1">
      <c r="A42" s="466" t="s">
        <v>23</v>
      </c>
      <c r="B42" s="467"/>
      <c r="C42" s="467"/>
      <c r="D42" s="467"/>
      <c r="E42" s="467"/>
      <c r="F42" s="468"/>
      <c r="H42" s="466" t="s">
        <v>23</v>
      </c>
      <c r="I42" s="467"/>
      <c r="J42" s="467"/>
      <c r="K42" s="467"/>
      <c r="L42" s="467"/>
      <c r="M42" s="468"/>
    </row>
    <row r="43" spans="1:13" ht="14.25" customHeight="1">
      <c r="A43" s="16" t="s">
        <v>24</v>
      </c>
      <c r="B43" s="17">
        <f>'BERÇÁRIO 2'!C9</f>
        <v>45729</v>
      </c>
      <c r="C43" s="18" t="s">
        <v>25</v>
      </c>
      <c r="D43" s="469" t="s">
        <v>33</v>
      </c>
      <c r="E43" s="470"/>
      <c r="F43" s="19" t="str">
        <f>'BERÇÁRIO 2'!D9</f>
        <v>1a 5m</v>
      </c>
      <c r="H43" s="16" t="s">
        <v>24</v>
      </c>
      <c r="I43" s="17" t="e">
        <f>#REF!</f>
        <v>#REF!</v>
      </c>
      <c r="J43" s="18" t="s">
        <v>25</v>
      </c>
      <c r="K43" s="469" t="s">
        <v>26</v>
      </c>
      <c r="L43" s="470"/>
      <c r="M43" s="19" t="e">
        <f>#REF!</f>
        <v>#REF!</v>
      </c>
    </row>
    <row r="44" spans="1:13" ht="14.25" customHeight="1">
      <c r="A44" s="20" t="s">
        <v>3</v>
      </c>
      <c r="B44" s="23">
        <f>'BERÇÁRIO 2'!E9</f>
        <v>11.1</v>
      </c>
      <c r="C44" s="23" t="str">
        <f>'BERÇÁRIO 2'!I9</f>
        <v>50-75</v>
      </c>
      <c r="D44" s="483"/>
      <c r="E44" s="472"/>
      <c r="F44" s="473"/>
      <c r="H44" s="20" t="s">
        <v>3</v>
      </c>
      <c r="I44" s="23" t="e">
        <f>#REF!</f>
        <v>#REF!</v>
      </c>
      <c r="J44" s="26" t="e">
        <f>#REF!</f>
        <v>#REF!</v>
      </c>
      <c r="K44" s="483"/>
      <c r="L44" s="472"/>
      <c r="M44" s="473"/>
    </row>
    <row r="45" spans="1:13" ht="14.25" customHeight="1">
      <c r="A45" s="20" t="s">
        <v>27</v>
      </c>
      <c r="B45" s="21">
        <f>'BERÇÁRIO 2'!F9</f>
        <v>0.79</v>
      </c>
      <c r="C45" s="23" t="str">
        <f>'BERÇÁRIO 2'!J9</f>
        <v>15-25</v>
      </c>
      <c r="D45" s="474"/>
      <c r="E45" s="475"/>
      <c r="F45" s="476"/>
      <c r="H45" s="20" t="s">
        <v>27</v>
      </c>
      <c r="I45" s="23" t="e">
        <f>#REF!</f>
        <v>#REF!</v>
      </c>
      <c r="J45" s="26" t="e">
        <f>#REF!</f>
        <v>#REF!</v>
      </c>
      <c r="K45" s="474"/>
      <c r="L45" s="475"/>
      <c r="M45" s="476"/>
    </row>
    <row r="46" spans="1:13" ht="14.25" customHeight="1">
      <c r="A46" s="20" t="s">
        <v>28</v>
      </c>
      <c r="B46" s="25">
        <f>'BERÇÁRIO 2'!G9</f>
        <v>17.785611280243547</v>
      </c>
      <c r="C46" s="23" t="str">
        <f>'BERÇÁRIO 2'!H9</f>
        <v>85-95</v>
      </c>
      <c r="D46" s="477"/>
      <c r="E46" s="478"/>
      <c r="F46" s="479"/>
      <c r="H46" s="20" t="s">
        <v>48</v>
      </c>
      <c r="I46" s="21" t="e">
        <f>#REF!</f>
        <v>#REF!</v>
      </c>
      <c r="J46" s="26" t="e">
        <f>#REF!</f>
        <v>#REF!</v>
      </c>
      <c r="K46" s="477"/>
      <c r="L46" s="478"/>
      <c r="M46" s="479"/>
    </row>
    <row r="47" spans="1:13" ht="28.8">
      <c r="A47" s="24" t="s">
        <v>30</v>
      </c>
      <c r="B47" s="480" t="str">
        <f>'BERÇÁRIO 2'!K9</f>
        <v>SOBREPESO</v>
      </c>
      <c r="C47" s="481"/>
      <c r="D47" s="481"/>
      <c r="E47" s="481"/>
      <c r="F47" s="482"/>
      <c r="H47" s="24" t="s">
        <v>30</v>
      </c>
      <c r="I47" s="480" t="e">
        <f>#REF!</f>
        <v>#REF!</v>
      </c>
      <c r="J47" s="481"/>
      <c r="K47" s="481"/>
      <c r="L47" s="481"/>
      <c r="M47" s="482"/>
    </row>
    <row r="48" spans="1:13" ht="14.25" customHeight="1"/>
    <row r="49" spans="1:13" ht="14.25" customHeight="1">
      <c r="A49" s="13" t="s">
        <v>21</v>
      </c>
      <c r="B49" s="488">
        <f>'BERÇÁRIO 2'!A10</f>
        <v>0</v>
      </c>
      <c r="C49" s="485"/>
      <c r="D49" s="486"/>
      <c r="E49" s="14" t="s">
        <v>22</v>
      </c>
      <c r="F49" s="15">
        <f>'BERÇÁRIO 2'!B10</f>
        <v>0</v>
      </c>
      <c r="H49" s="13" t="s">
        <v>21</v>
      </c>
      <c r="I49" s="484" t="e">
        <f>'BERÇÁRIO 2'!#REF!</f>
        <v>#REF!</v>
      </c>
      <c r="J49" s="485"/>
      <c r="K49" s="486"/>
      <c r="L49" s="14" t="s">
        <v>22</v>
      </c>
      <c r="M49" s="15" t="e">
        <f>'BERÇÁRIO 2'!#REF!</f>
        <v>#REF!</v>
      </c>
    </row>
    <row r="50" spans="1:13" ht="14.25" customHeight="1">
      <c r="A50" s="466" t="s">
        <v>23</v>
      </c>
      <c r="B50" s="467"/>
      <c r="C50" s="467"/>
      <c r="D50" s="467"/>
      <c r="E50" s="467"/>
      <c r="F50" s="468"/>
      <c r="H50" s="466" t="s">
        <v>23</v>
      </c>
      <c r="I50" s="467"/>
      <c r="J50" s="467"/>
      <c r="K50" s="467"/>
      <c r="L50" s="467"/>
      <c r="M50" s="468"/>
    </row>
    <row r="51" spans="1:13" ht="14.25" customHeight="1">
      <c r="A51" s="16" t="s">
        <v>24</v>
      </c>
      <c r="B51" s="17">
        <f>'BERÇÁRIO 2'!C10</f>
        <v>0</v>
      </c>
      <c r="C51" s="18" t="s">
        <v>25</v>
      </c>
      <c r="D51" s="469" t="s">
        <v>33</v>
      </c>
      <c r="E51" s="470"/>
      <c r="F51" s="19">
        <f>'BERÇÁRIO 2'!D10</f>
        <v>0</v>
      </c>
      <c r="H51" s="16" t="s">
        <v>24</v>
      </c>
      <c r="I51" s="17" t="e">
        <f>'BERÇÁRIO 2'!#REF!</f>
        <v>#REF!</v>
      </c>
      <c r="J51" s="18" t="s">
        <v>25</v>
      </c>
      <c r="K51" s="469" t="s">
        <v>26</v>
      </c>
      <c r="L51" s="470"/>
      <c r="M51" s="19" t="e">
        <f>'BERÇÁRIO 2'!#REF!</f>
        <v>#REF!</v>
      </c>
    </row>
    <row r="52" spans="1:13" ht="14.25" customHeight="1">
      <c r="A52" s="20" t="s">
        <v>3</v>
      </c>
      <c r="B52" s="23">
        <f>'BERÇÁRIO 2'!E10</f>
        <v>0</v>
      </c>
      <c r="C52" s="23">
        <f>'BERÇÁRIO 2'!I10</f>
        <v>0</v>
      </c>
      <c r="D52" s="483"/>
      <c r="E52" s="472"/>
      <c r="F52" s="473"/>
      <c r="H52" s="20" t="s">
        <v>3</v>
      </c>
      <c r="I52" s="23" t="e">
        <f>'BERÇÁRIO 2'!#REF!</f>
        <v>#REF!</v>
      </c>
      <c r="J52" s="23" t="e">
        <f>'BERÇÁRIO 2'!#REF!</f>
        <v>#REF!</v>
      </c>
      <c r="K52" s="483"/>
      <c r="L52" s="472"/>
      <c r="M52" s="473"/>
    </row>
    <row r="53" spans="1:13" ht="14.25" customHeight="1">
      <c r="A53" s="20" t="s">
        <v>27</v>
      </c>
      <c r="B53" s="21">
        <f>'BERÇÁRIO 2'!F10</f>
        <v>0</v>
      </c>
      <c r="C53" s="23">
        <f>'BERÇÁRIO 2'!J10</f>
        <v>0</v>
      </c>
      <c r="D53" s="474"/>
      <c r="E53" s="475"/>
      <c r="F53" s="476"/>
      <c r="H53" s="20" t="s">
        <v>27</v>
      </c>
      <c r="I53" s="23" t="e">
        <f>'BERÇÁRIO 2'!#REF!</f>
        <v>#REF!</v>
      </c>
      <c r="J53" s="23" t="e">
        <f>'BERÇÁRIO 2'!#REF!</f>
        <v>#REF!</v>
      </c>
      <c r="K53" s="474"/>
      <c r="L53" s="475"/>
      <c r="M53" s="476"/>
    </row>
    <row r="54" spans="1:13" ht="14.25" customHeight="1">
      <c r="A54" s="20" t="s">
        <v>28</v>
      </c>
      <c r="B54" s="25">
        <f>'BERÇÁRIO 2'!G10</f>
        <v>0</v>
      </c>
      <c r="C54" s="23">
        <f>'BERÇÁRIO 2'!H10</f>
        <v>0</v>
      </c>
      <c r="D54" s="477"/>
      <c r="E54" s="478"/>
      <c r="F54" s="479"/>
      <c r="H54" s="20" t="s">
        <v>49</v>
      </c>
      <c r="I54" s="21" t="e">
        <f>'BERÇÁRIO 2'!#REF!</f>
        <v>#REF!</v>
      </c>
      <c r="J54" s="23" t="e">
        <f>'BERÇÁRIO 2'!#REF!</f>
        <v>#REF!</v>
      </c>
      <c r="K54" s="477"/>
      <c r="L54" s="478"/>
      <c r="M54" s="479"/>
    </row>
    <row r="55" spans="1:13" ht="28.8">
      <c r="A55" s="24" t="s">
        <v>30</v>
      </c>
      <c r="B55" s="480">
        <f>'BERÇÁRIO 2'!K10</f>
        <v>0</v>
      </c>
      <c r="C55" s="481"/>
      <c r="D55" s="481"/>
      <c r="E55" s="481"/>
      <c r="F55" s="482"/>
      <c r="H55" s="24" t="s">
        <v>30</v>
      </c>
      <c r="I55" s="480" t="e">
        <f>'BERÇÁRIO 2'!#REF!</f>
        <v>#REF!</v>
      </c>
      <c r="J55" s="481"/>
      <c r="K55" s="481"/>
      <c r="L55" s="481"/>
      <c r="M55" s="482"/>
    </row>
    <row r="56" spans="1:13" ht="14.25" customHeight="1"/>
    <row r="57" spans="1:13" ht="14.25" customHeight="1">
      <c r="A57" s="13" t="s">
        <v>21</v>
      </c>
      <c r="B57" s="488">
        <f>'BERÇÁRIO 2'!A11</f>
        <v>0</v>
      </c>
      <c r="C57" s="485"/>
      <c r="D57" s="486"/>
      <c r="E57" s="14" t="s">
        <v>22</v>
      </c>
      <c r="F57" s="15">
        <f>'BERÇÁRIO 2'!B11</f>
        <v>0</v>
      </c>
      <c r="H57" s="32"/>
      <c r="I57" s="494"/>
      <c r="J57" s="475"/>
      <c r="K57" s="475"/>
      <c r="L57" s="32"/>
      <c r="M57" s="33"/>
    </row>
    <row r="58" spans="1:13" ht="14.25" customHeight="1">
      <c r="A58" s="466" t="s">
        <v>23</v>
      </c>
      <c r="B58" s="467"/>
      <c r="C58" s="467"/>
      <c r="D58" s="467"/>
      <c r="E58" s="467"/>
      <c r="F58" s="468"/>
      <c r="H58" s="495"/>
      <c r="I58" s="475"/>
      <c r="J58" s="475"/>
      <c r="K58" s="475"/>
      <c r="L58" s="475"/>
      <c r="M58" s="475"/>
    </row>
    <row r="59" spans="1:13" ht="14.25" customHeight="1">
      <c r="A59" s="16" t="s">
        <v>24</v>
      </c>
      <c r="B59" s="17">
        <f>'BERÇÁRIO 2'!C11</f>
        <v>0</v>
      </c>
      <c r="C59" s="18" t="s">
        <v>25</v>
      </c>
      <c r="D59" s="469" t="s">
        <v>33</v>
      </c>
      <c r="E59" s="470"/>
      <c r="F59" s="19">
        <f>'BERÇÁRIO 2'!D11</f>
        <v>0</v>
      </c>
      <c r="H59" s="35"/>
      <c r="I59" s="36"/>
      <c r="J59" s="37"/>
      <c r="K59" s="496"/>
      <c r="L59" s="475"/>
      <c r="M59" s="38"/>
    </row>
    <row r="60" spans="1:13" ht="14.25" customHeight="1">
      <c r="A60" s="20" t="s">
        <v>3</v>
      </c>
      <c r="B60" s="23">
        <f>'BERÇÁRIO 2'!E11</f>
        <v>0</v>
      </c>
      <c r="C60" s="23">
        <f>'BERÇÁRIO 2'!I11</f>
        <v>0</v>
      </c>
      <c r="D60" s="483"/>
      <c r="E60" s="472"/>
      <c r="F60" s="473"/>
      <c r="H60" s="39"/>
      <c r="I60" s="40"/>
      <c r="J60" s="34"/>
      <c r="K60" s="492"/>
      <c r="L60" s="475"/>
      <c r="M60" s="475"/>
    </row>
    <row r="61" spans="1:13" ht="14.25" customHeight="1">
      <c r="A61" s="20" t="s">
        <v>27</v>
      </c>
      <c r="B61" s="21">
        <f>'BERÇÁRIO 2'!F11</f>
        <v>0</v>
      </c>
      <c r="C61" s="23">
        <f>'BERÇÁRIO 2'!J11</f>
        <v>0</v>
      </c>
      <c r="D61" s="474"/>
      <c r="E61" s="475"/>
      <c r="F61" s="476"/>
      <c r="H61" s="39"/>
      <c r="I61" s="34"/>
      <c r="J61" s="34"/>
      <c r="K61" s="475"/>
      <c r="L61" s="475"/>
      <c r="M61" s="475"/>
    </row>
    <row r="62" spans="1:13" ht="14.25" customHeight="1">
      <c r="A62" s="20" t="s">
        <v>28</v>
      </c>
      <c r="B62" s="25">
        <f>'BERÇÁRIO 2'!G11</f>
        <v>0</v>
      </c>
      <c r="C62" s="23">
        <f>'BERÇÁRIO 2'!H11</f>
        <v>0</v>
      </c>
      <c r="D62" s="477"/>
      <c r="E62" s="478"/>
      <c r="F62" s="479"/>
      <c r="H62" s="39"/>
      <c r="I62" s="40"/>
      <c r="J62" s="34"/>
      <c r="K62" s="475"/>
      <c r="L62" s="475"/>
      <c r="M62" s="475"/>
    </row>
    <row r="63" spans="1:13" ht="38.4" customHeight="1">
      <c r="A63" s="24" t="s">
        <v>30</v>
      </c>
      <c r="B63" s="480">
        <f>'BERÇÁRIO 2'!K11</f>
        <v>0</v>
      </c>
      <c r="C63" s="481"/>
      <c r="D63" s="481"/>
      <c r="E63" s="481"/>
      <c r="F63" s="482"/>
      <c r="H63" s="41"/>
      <c r="I63" s="493"/>
      <c r="J63" s="475"/>
      <c r="K63" s="475"/>
      <c r="L63" s="475"/>
      <c r="M63" s="475"/>
    </row>
    <row r="64" spans="1:1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0">
    <mergeCell ref="I23:M23"/>
    <mergeCell ref="I25:K25"/>
    <mergeCell ref="H26:M26"/>
    <mergeCell ref="K27:L27"/>
    <mergeCell ref="K28:M30"/>
    <mergeCell ref="I31:M31"/>
    <mergeCell ref="I33:K33"/>
    <mergeCell ref="H34:M34"/>
    <mergeCell ref="K35:L35"/>
    <mergeCell ref="K36:M38"/>
    <mergeCell ref="I39:M39"/>
    <mergeCell ref="K51:L51"/>
    <mergeCell ref="I41:K41"/>
    <mergeCell ref="H42:M42"/>
    <mergeCell ref="K43:L43"/>
    <mergeCell ref="K44:M46"/>
    <mergeCell ref="I47:M47"/>
    <mergeCell ref="B1:D1"/>
    <mergeCell ref="I1:K1"/>
    <mergeCell ref="A2:F2"/>
    <mergeCell ref="H2:M2"/>
    <mergeCell ref="D3:E3"/>
    <mergeCell ref="K3:L3"/>
    <mergeCell ref="K4:M6"/>
    <mergeCell ref="D4:F6"/>
    <mergeCell ref="B7:F7"/>
    <mergeCell ref="B9:D9"/>
    <mergeCell ref="A10:F10"/>
    <mergeCell ref="D11:E11"/>
    <mergeCell ref="D12:F14"/>
    <mergeCell ref="B15:F15"/>
    <mergeCell ref="I7:M7"/>
    <mergeCell ref="I9:K9"/>
    <mergeCell ref="H10:M10"/>
    <mergeCell ref="K11:L11"/>
    <mergeCell ref="K12:M14"/>
    <mergeCell ref="I15:M15"/>
    <mergeCell ref="I17:K17"/>
    <mergeCell ref="B17:D17"/>
    <mergeCell ref="A18:F18"/>
    <mergeCell ref="D19:E19"/>
    <mergeCell ref="D20:F22"/>
    <mergeCell ref="H18:M18"/>
    <mergeCell ref="K19:L19"/>
    <mergeCell ref="K20:M22"/>
    <mergeCell ref="B23:F23"/>
    <mergeCell ref="B25:D25"/>
    <mergeCell ref="A26:F26"/>
    <mergeCell ref="D27:E27"/>
    <mergeCell ref="D28:F30"/>
    <mergeCell ref="B31:F31"/>
    <mergeCell ref="B33:D33"/>
    <mergeCell ref="A34:F34"/>
    <mergeCell ref="D35:E35"/>
    <mergeCell ref="D36:F38"/>
    <mergeCell ref="B39:F39"/>
    <mergeCell ref="B41:D41"/>
    <mergeCell ref="A42:F42"/>
    <mergeCell ref="D43:E43"/>
    <mergeCell ref="D44:F46"/>
    <mergeCell ref="B47:F47"/>
    <mergeCell ref="B49:D49"/>
    <mergeCell ref="A58:F58"/>
    <mergeCell ref="H58:M58"/>
    <mergeCell ref="D59:E59"/>
    <mergeCell ref="K59:L59"/>
    <mergeCell ref="K52:M54"/>
    <mergeCell ref="I49:K49"/>
    <mergeCell ref="H50:M50"/>
    <mergeCell ref="D60:F62"/>
    <mergeCell ref="K60:M62"/>
    <mergeCell ref="B63:F63"/>
    <mergeCell ref="I63:M63"/>
    <mergeCell ref="A50:F50"/>
    <mergeCell ref="D51:E51"/>
    <mergeCell ref="D52:F54"/>
    <mergeCell ref="B55:F55"/>
    <mergeCell ref="I55:M55"/>
    <mergeCell ref="B57:D57"/>
    <mergeCell ref="I57:K57"/>
  </mergeCells>
  <pageMargins left="0.51181102362204722" right="0.51181102362204722" top="0.39370078740157483" bottom="0.39370078740157483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AADB"/>
  </sheetPr>
  <dimension ref="A1:Z992"/>
  <sheetViews>
    <sheetView workbookViewId="0">
      <selection sqref="A1:K11"/>
    </sheetView>
  </sheetViews>
  <sheetFormatPr defaultColWidth="14.44140625" defaultRowHeight="15" customHeight="1"/>
  <cols>
    <col min="1" max="1" width="29.5546875" customWidth="1"/>
    <col min="2" max="3" width="11.109375" customWidth="1"/>
    <col min="4" max="4" width="6.88671875" customWidth="1"/>
    <col min="5" max="5" width="7.6640625" customWidth="1"/>
    <col min="6" max="6" width="7.88671875" bestFit="1" customWidth="1"/>
    <col min="7" max="7" width="9.109375" customWidth="1"/>
    <col min="8" max="8" width="6.33203125" customWidth="1"/>
    <col min="9" max="10" width="5.6640625" customWidth="1"/>
    <col min="11" max="11" width="13.6640625" customWidth="1"/>
    <col min="12" max="12" width="3.88671875" customWidth="1"/>
    <col min="13" max="13" width="12.5546875" customWidth="1"/>
    <col min="14" max="14" width="7.5546875" customWidth="1"/>
    <col min="15" max="15" width="6.88671875" customWidth="1"/>
    <col min="16" max="26" width="15" customWidth="1"/>
  </cols>
  <sheetData>
    <row r="1" spans="1:26" ht="14.25" customHeight="1">
      <c r="A1" s="489" t="s">
        <v>154</v>
      </c>
      <c r="B1" s="490"/>
      <c r="C1" s="490"/>
      <c r="D1" s="490"/>
      <c r="E1" s="490"/>
      <c r="F1" s="490"/>
      <c r="G1" s="490"/>
      <c r="H1" s="490"/>
      <c r="I1" s="490"/>
      <c r="J1" s="49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/>
      <c r="B2" s="3"/>
      <c r="C2" s="3"/>
      <c r="D2" s="3"/>
      <c r="E2" s="3"/>
      <c r="F2" s="3"/>
      <c r="G2" s="3"/>
      <c r="H2" s="3"/>
      <c r="I2" s="3"/>
      <c r="J2" s="4"/>
      <c r="K2" s="1"/>
      <c r="L2" s="1"/>
      <c r="M2" s="42"/>
      <c r="N2" s="42"/>
      <c r="O2" s="42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" customHeight="1">
      <c r="A3" s="122"/>
      <c r="B3" s="65" t="s">
        <v>0</v>
      </c>
      <c r="C3" s="65" t="s">
        <v>1</v>
      </c>
      <c r="D3" s="65" t="s">
        <v>2</v>
      </c>
      <c r="E3" s="65" t="s">
        <v>3</v>
      </c>
      <c r="F3" s="65" t="s">
        <v>4</v>
      </c>
      <c r="G3" s="65" t="s">
        <v>5</v>
      </c>
      <c r="H3" s="65" t="s">
        <v>6</v>
      </c>
      <c r="I3" s="65" t="s">
        <v>7</v>
      </c>
      <c r="J3" s="65" t="s">
        <v>8</v>
      </c>
      <c r="K3" s="123" t="s">
        <v>9</v>
      </c>
      <c r="L3" s="43"/>
      <c r="M3" s="8"/>
      <c r="N3" s="8" t="s">
        <v>10</v>
      </c>
      <c r="O3" s="8" t="s">
        <v>11</v>
      </c>
      <c r="P3" s="44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>
      <c r="A4" s="256" t="s">
        <v>169</v>
      </c>
      <c r="B4" s="252">
        <v>45101</v>
      </c>
      <c r="C4" s="220">
        <v>45729</v>
      </c>
      <c r="D4" s="257" t="s">
        <v>232</v>
      </c>
      <c r="E4" s="263">
        <v>14.2</v>
      </c>
      <c r="F4" s="263">
        <v>0.87</v>
      </c>
      <c r="G4" s="215">
        <f t="shared" ref="G4:G11" si="0">E4/(F4*F4)</f>
        <v>18.760734575241113</v>
      </c>
      <c r="H4" s="258" t="s">
        <v>270</v>
      </c>
      <c r="I4" s="258" t="s">
        <v>270</v>
      </c>
      <c r="J4" s="258" t="s">
        <v>271</v>
      </c>
      <c r="K4" s="259" t="s">
        <v>289</v>
      </c>
      <c r="L4" s="28"/>
      <c r="M4" s="29" t="s">
        <v>12</v>
      </c>
      <c r="N4" s="8"/>
      <c r="O4" s="8"/>
      <c r="P4" s="45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25" t="s">
        <v>136</v>
      </c>
      <c r="B5" s="262">
        <v>45118</v>
      </c>
      <c r="C5" s="209">
        <v>45729</v>
      </c>
      <c r="D5" s="75" t="s">
        <v>232</v>
      </c>
      <c r="E5" s="264">
        <v>11.8</v>
      </c>
      <c r="F5" s="264">
        <v>0.86</v>
      </c>
      <c r="G5" s="75">
        <f t="shared" si="0"/>
        <v>15.954570037858304</v>
      </c>
      <c r="H5" s="126">
        <v>50</v>
      </c>
      <c r="I5" s="126" t="s">
        <v>275</v>
      </c>
      <c r="J5" s="126" t="s">
        <v>275</v>
      </c>
      <c r="K5" s="99" t="s">
        <v>290</v>
      </c>
      <c r="L5" s="46"/>
      <c r="M5" s="29" t="s">
        <v>13</v>
      </c>
      <c r="N5" s="8">
        <v>3</v>
      </c>
      <c r="O5" s="8">
        <v>2</v>
      </c>
      <c r="P5" s="45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25" t="s">
        <v>170</v>
      </c>
      <c r="B6" s="262">
        <v>45068</v>
      </c>
      <c r="C6" s="209">
        <v>45729</v>
      </c>
      <c r="D6" s="75" t="s">
        <v>234</v>
      </c>
      <c r="E6" s="264">
        <v>12.5</v>
      </c>
      <c r="F6" s="264">
        <v>0.86</v>
      </c>
      <c r="G6" s="75">
        <f t="shared" si="0"/>
        <v>16.901027582477017</v>
      </c>
      <c r="H6" s="126" t="s">
        <v>269</v>
      </c>
      <c r="I6" s="126">
        <v>75</v>
      </c>
      <c r="J6" s="126" t="s">
        <v>275</v>
      </c>
      <c r="K6" s="99" t="s">
        <v>290</v>
      </c>
      <c r="L6" s="9"/>
      <c r="M6" s="29" t="s">
        <v>15</v>
      </c>
      <c r="N6" s="8"/>
      <c r="O6" s="8">
        <v>1</v>
      </c>
      <c r="P6" s="45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260" t="s">
        <v>171</v>
      </c>
      <c r="B7" s="253">
        <v>45131</v>
      </c>
      <c r="C7" s="220">
        <v>45729</v>
      </c>
      <c r="D7" s="215" t="s">
        <v>233</v>
      </c>
      <c r="E7" s="263">
        <v>11.8</v>
      </c>
      <c r="F7" s="401">
        <v>0.8</v>
      </c>
      <c r="G7" s="215">
        <f t="shared" si="0"/>
        <v>18.437499999999996</v>
      </c>
      <c r="H7" s="233" t="s">
        <v>277</v>
      </c>
      <c r="I7" s="233" t="s">
        <v>269</v>
      </c>
      <c r="J7" s="233" t="s">
        <v>274</v>
      </c>
      <c r="K7" s="217" t="s">
        <v>290</v>
      </c>
      <c r="L7" s="9"/>
      <c r="M7" s="29" t="s">
        <v>17</v>
      </c>
      <c r="N7" s="8">
        <v>1</v>
      </c>
      <c r="O7" s="8"/>
      <c r="P7" s="45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260" t="s">
        <v>172</v>
      </c>
      <c r="B8" s="255">
        <v>45050</v>
      </c>
      <c r="C8" s="220">
        <v>45729</v>
      </c>
      <c r="D8" s="215" t="s">
        <v>235</v>
      </c>
      <c r="E8" s="263">
        <v>10.4</v>
      </c>
      <c r="F8" s="263">
        <v>0.84</v>
      </c>
      <c r="G8" s="215">
        <f t="shared" si="0"/>
        <v>14.739229024943313</v>
      </c>
      <c r="H8" s="233" t="s">
        <v>274</v>
      </c>
      <c r="I8" s="233" t="s">
        <v>274</v>
      </c>
      <c r="J8" s="233" t="s">
        <v>274</v>
      </c>
      <c r="K8" s="217" t="s">
        <v>290</v>
      </c>
      <c r="L8" s="47"/>
      <c r="M8" s="29" t="s">
        <v>18</v>
      </c>
      <c r="N8" s="8">
        <f>SUM(N7)</f>
        <v>1</v>
      </c>
      <c r="O8" s="8">
        <f>SUM(O5:O7)</f>
        <v>3</v>
      </c>
      <c r="P8" s="45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260" t="s">
        <v>141</v>
      </c>
      <c r="B9" s="253">
        <v>45165</v>
      </c>
      <c r="C9" s="220">
        <v>45729</v>
      </c>
      <c r="D9" s="215" t="s">
        <v>231</v>
      </c>
      <c r="E9" s="263">
        <v>11.4</v>
      </c>
      <c r="F9" s="401">
        <v>0.8</v>
      </c>
      <c r="G9" s="215">
        <f t="shared" si="0"/>
        <v>17.812499999999996</v>
      </c>
      <c r="H9" s="233" t="s">
        <v>271</v>
      </c>
      <c r="I9" s="233" t="s">
        <v>269</v>
      </c>
      <c r="J9" s="233" t="s">
        <v>274</v>
      </c>
      <c r="K9" s="217" t="s">
        <v>290</v>
      </c>
      <c r="L9" s="48"/>
      <c r="M9" s="29" t="s">
        <v>19</v>
      </c>
      <c r="N9" s="198"/>
      <c r="O9" s="194">
        <f>SUM(N8:O8)</f>
        <v>4</v>
      </c>
      <c r="P9" s="45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25" t="s">
        <v>16</v>
      </c>
      <c r="B10" s="261">
        <v>45038</v>
      </c>
      <c r="C10" s="209">
        <v>45729</v>
      </c>
      <c r="D10" s="127" t="s">
        <v>235</v>
      </c>
      <c r="E10" s="264">
        <v>13.9</v>
      </c>
      <c r="F10" s="264">
        <v>0.86</v>
      </c>
      <c r="G10" s="75">
        <f t="shared" si="0"/>
        <v>18.793942671714444</v>
      </c>
      <c r="H10" s="129" t="s">
        <v>270</v>
      </c>
      <c r="I10" s="129">
        <v>95</v>
      </c>
      <c r="J10" s="129">
        <v>50</v>
      </c>
      <c r="K10" s="129" t="s">
        <v>288</v>
      </c>
      <c r="L10" s="1"/>
      <c r="M10" s="30"/>
      <c r="N10" s="30"/>
      <c r="O10" s="30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407" t="s">
        <v>173</v>
      </c>
      <c r="B11" s="408">
        <v>45072</v>
      </c>
      <c r="C11" s="409"/>
      <c r="D11" s="410"/>
      <c r="E11" s="410"/>
      <c r="F11" s="411"/>
      <c r="G11" s="412" t="e">
        <f t="shared" si="0"/>
        <v>#DIV/0!</v>
      </c>
      <c r="H11" s="413"/>
      <c r="I11" s="414"/>
      <c r="J11" s="413"/>
      <c r="K11" s="41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76"/>
      <c r="B12" s="130"/>
      <c r="C12" s="74"/>
      <c r="D12" s="128"/>
      <c r="E12" s="127"/>
      <c r="F12" s="127"/>
      <c r="G12" s="75"/>
      <c r="H12" s="129"/>
      <c r="I12" s="129"/>
      <c r="J12" s="129"/>
      <c r="K12" s="12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25"/>
      <c r="B13" s="131"/>
      <c r="C13" s="131"/>
      <c r="D13" s="132"/>
      <c r="E13" s="132"/>
      <c r="F13" s="132"/>
      <c r="G13" s="75"/>
      <c r="H13" s="132"/>
      <c r="I13" s="132"/>
      <c r="J13" s="132"/>
      <c r="K13" s="13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24"/>
      <c r="B14" s="247"/>
      <c r="C14" s="247"/>
      <c r="D14" s="248"/>
      <c r="E14" s="248"/>
      <c r="F14" s="248"/>
      <c r="G14" s="80"/>
      <c r="H14" s="248"/>
      <c r="I14" s="248"/>
      <c r="J14" s="248"/>
      <c r="K14" s="24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mergeCells count="1">
    <mergeCell ref="A1:J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AADB"/>
  </sheetPr>
  <dimension ref="A1:M1000"/>
  <sheetViews>
    <sheetView topLeftCell="A22" workbookViewId="0">
      <selection activeCell="H33" sqref="H33:M39"/>
    </sheetView>
  </sheetViews>
  <sheetFormatPr defaultColWidth="14.44140625" defaultRowHeight="15" customHeight="1"/>
  <cols>
    <col min="1" max="1" width="11.33203125" customWidth="1"/>
    <col min="2" max="2" width="10.6640625" customWidth="1"/>
    <col min="3" max="3" width="8.6640625" customWidth="1"/>
    <col min="4" max="4" width="6.5546875" customWidth="1"/>
    <col min="5" max="5" width="5.33203125" customWidth="1"/>
    <col min="6" max="6" width="10.6640625" customWidth="1"/>
    <col min="7" max="7" width="2.5546875" customWidth="1"/>
    <col min="8" max="8" width="11.33203125" customWidth="1"/>
    <col min="9" max="9" width="10.6640625" customWidth="1"/>
    <col min="10" max="11" width="8.6640625" customWidth="1"/>
    <col min="12" max="12" width="4.88671875" customWidth="1"/>
    <col min="13" max="13" width="10.77734375" bestFit="1" customWidth="1"/>
    <col min="14" max="26" width="8.6640625" customWidth="1"/>
  </cols>
  <sheetData>
    <row r="1" spans="1:13" ht="14.25" customHeight="1">
      <c r="A1" s="13" t="s">
        <v>21</v>
      </c>
      <c r="B1" s="484" t="str">
        <f>'Mini Baby'!A4</f>
        <v>Átila Topic</v>
      </c>
      <c r="C1" s="485"/>
      <c r="D1" s="486"/>
      <c r="E1" s="14" t="s">
        <v>22</v>
      </c>
      <c r="F1" s="15">
        <f>'Mini Baby'!B4</f>
        <v>45101</v>
      </c>
      <c r="H1" s="13" t="s">
        <v>21</v>
      </c>
      <c r="I1" s="487" t="str">
        <f>'Mini Baby'!A9</f>
        <v>Helena Torres Borini</v>
      </c>
      <c r="J1" s="485"/>
      <c r="K1" s="486"/>
      <c r="L1" s="14" t="s">
        <v>22</v>
      </c>
      <c r="M1" s="15">
        <f>'Mini Baby'!B9</f>
        <v>45165</v>
      </c>
    </row>
    <row r="2" spans="1:13" ht="14.25" customHeight="1">
      <c r="A2" s="466" t="s">
        <v>23</v>
      </c>
      <c r="B2" s="467"/>
      <c r="C2" s="467"/>
      <c r="D2" s="467"/>
      <c r="E2" s="467"/>
      <c r="F2" s="468"/>
      <c r="H2" s="466" t="s">
        <v>23</v>
      </c>
      <c r="I2" s="467"/>
      <c r="J2" s="467"/>
      <c r="K2" s="467"/>
      <c r="L2" s="467"/>
      <c r="M2" s="468"/>
    </row>
    <row r="3" spans="1:13" ht="14.25" customHeight="1">
      <c r="A3" s="16" t="s">
        <v>24</v>
      </c>
      <c r="B3" s="17">
        <f>'Mini Baby'!C4</f>
        <v>45729</v>
      </c>
      <c r="C3" s="18" t="s">
        <v>25</v>
      </c>
      <c r="D3" s="469" t="s">
        <v>26</v>
      </c>
      <c r="E3" s="470"/>
      <c r="F3" s="19" t="str">
        <f>'Mini Baby'!D4</f>
        <v>1a 8m</v>
      </c>
      <c r="H3" s="16" t="s">
        <v>24</v>
      </c>
      <c r="I3" s="17">
        <f>'Mini Baby'!C9</f>
        <v>45729</v>
      </c>
      <c r="J3" s="18" t="s">
        <v>25</v>
      </c>
      <c r="K3" s="469" t="s">
        <v>26</v>
      </c>
      <c r="L3" s="470"/>
      <c r="M3" s="19" t="str">
        <f>'Mini Baby'!D9</f>
        <v>1a 6m</v>
      </c>
    </row>
    <row r="4" spans="1:13" ht="14.25" customHeight="1">
      <c r="A4" s="20" t="s">
        <v>3</v>
      </c>
      <c r="B4" s="25">
        <f>'Mini Baby'!E4</f>
        <v>14.2</v>
      </c>
      <c r="C4" s="27" t="str">
        <f>'Mini Baby'!I4</f>
        <v>97-99</v>
      </c>
      <c r="D4" s="471"/>
      <c r="E4" s="472"/>
      <c r="F4" s="473"/>
      <c r="H4" s="20" t="s">
        <v>3</v>
      </c>
      <c r="I4" s="23">
        <f>'Mini Baby'!E9</f>
        <v>11.4</v>
      </c>
      <c r="J4" s="26" t="str">
        <f>'Mini Baby'!I9</f>
        <v>75-85</v>
      </c>
      <c r="K4" s="483"/>
      <c r="L4" s="472"/>
      <c r="M4" s="473"/>
    </row>
    <row r="5" spans="1:13" ht="14.25" customHeight="1">
      <c r="A5" s="20" t="s">
        <v>27</v>
      </c>
      <c r="B5" s="21">
        <f>'Mini Baby'!F4</f>
        <v>0.87</v>
      </c>
      <c r="C5" s="26" t="str">
        <f>'Mini Baby'!J4</f>
        <v>85-95</v>
      </c>
      <c r="D5" s="474"/>
      <c r="E5" s="475"/>
      <c r="F5" s="476"/>
      <c r="H5" s="20" t="s">
        <v>27</v>
      </c>
      <c r="I5" s="21">
        <f>'Mini Baby'!F9</f>
        <v>0.8</v>
      </c>
      <c r="J5" s="26" t="str">
        <f>'Mini Baby'!J9</f>
        <v>25-50</v>
      </c>
      <c r="K5" s="474"/>
      <c r="L5" s="475"/>
      <c r="M5" s="476"/>
    </row>
    <row r="6" spans="1:13" ht="14.25" customHeight="1">
      <c r="A6" s="20" t="s">
        <v>52</v>
      </c>
      <c r="B6" s="21">
        <f>'Mini Baby'!G4</f>
        <v>18.760734575241113</v>
      </c>
      <c r="C6" s="26" t="str">
        <f>'Mini Baby'!H4</f>
        <v>97-99</v>
      </c>
      <c r="D6" s="477"/>
      <c r="E6" s="478"/>
      <c r="F6" s="479"/>
      <c r="H6" s="20" t="s">
        <v>53</v>
      </c>
      <c r="I6" s="21">
        <f>'Mini Baby'!G9</f>
        <v>17.812499999999996</v>
      </c>
      <c r="J6" s="26" t="str">
        <f>'Mini Baby'!H9</f>
        <v>85-95</v>
      </c>
      <c r="K6" s="477"/>
      <c r="L6" s="478"/>
      <c r="M6" s="479"/>
    </row>
    <row r="7" spans="1:13" ht="14.25" customHeight="1">
      <c r="A7" s="24" t="s">
        <v>30</v>
      </c>
      <c r="B7" s="480" t="str">
        <f>'Mini Baby'!K4</f>
        <v>OBESIDADE</v>
      </c>
      <c r="C7" s="481"/>
      <c r="D7" s="481"/>
      <c r="E7" s="481"/>
      <c r="F7" s="482"/>
      <c r="H7" s="24" t="s">
        <v>30</v>
      </c>
      <c r="I7" s="480" t="str">
        <f>'Mini Baby'!K9</f>
        <v>ADEQUADO</v>
      </c>
      <c r="J7" s="481"/>
      <c r="K7" s="481"/>
      <c r="L7" s="481"/>
      <c r="M7" s="482"/>
    </row>
    <row r="8" spans="1:13" ht="7.5" customHeight="1"/>
    <row r="9" spans="1:13" ht="14.25" customHeight="1">
      <c r="A9" s="13" t="s">
        <v>21</v>
      </c>
      <c r="B9" s="484" t="str">
        <f>'Mini Baby'!A5</f>
        <v>Bernardo C. Melhado</v>
      </c>
      <c r="C9" s="485"/>
      <c r="D9" s="486"/>
      <c r="E9" s="14" t="s">
        <v>22</v>
      </c>
      <c r="F9" s="15">
        <f>'BERÇÁRIO 1'!$B$5</f>
        <v>45365</v>
      </c>
      <c r="H9" s="13" t="s">
        <v>21</v>
      </c>
      <c r="I9" s="487" t="str">
        <f>'Mini Baby'!A10</f>
        <v>Luiggi Chiari Pieruzzi</v>
      </c>
      <c r="J9" s="485"/>
      <c r="K9" s="486"/>
      <c r="L9" s="14" t="s">
        <v>22</v>
      </c>
      <c r="M9" s="15">
        <f>'Mini Baby'!B10</f>
        <v>45038</v>
      </c>
    </row>
    <row r="10" spans="1:13" ht="14.25" customHeight="1">
      <c r="A10" s="466" t="s">
        <v>23</v>
      </c>
      <c r="B10" s="467"/>
      <c r="C10" s="467"/>
      <c r="D10" s="467"/>
      <c r="E10" s="467"/>
      <c r="F10" s="468"/>
      <c r="H10" s="466" t="s">
        <v>23</v>
      </c>
      <c r="I10" s="467"/>
      <c r="J10" s="467"/>
      <c r="K10" s="467"/>
      <c r="L10" s="467"/>
      <c r="M10" s="468"/>
    </row>
    <row r="11" spans="1:13" ht="14.25" customHeight="1">
      <c r="A11" s="16" t="s">
        <v>24</v>
      </c>
      <c r="B11" s="17">
        <f>'Mini Baby'!C5</f>
        <v>45729</v>
      </c>
      <c r="C11" s="18" t="s">
        <v>25</v>
      </c>
      <c r="D11" s="469" t="s">
        <v>26</v>
      </c>
      <c r="E11" s="470"/>
      <c r="F11" s="19" t="str">
        <f>'Mini Baby'!D5</f>
        <v>1a 8m</v>
      </c>
      <c r="H11" s="16" t="s">
        <v>24</v>
      </c>
      <c r="I11" s="17">
        <f>'Mini Baby'!C10</f>
        <v>45729</v>
      </c>
      <c r="J11" s="18" t="s">
        <v>25</v>
      </c>
      <c r="K11" s="469" t="s">
        <v>26</v>
      </c>
      <c r="L11" s="470"/>
      <c r="M11" s="19" t="str">
        <f>'Mini Baby'!D10</f>
        <v>1a 10m</v>
      </c>
    </row>
    <row r="12" spans="1:13" ht="14.25" customHeight="1">
      <c r="A12" s="20" t="s">
        <v>3</v>
      </c>
      <c r="B12" s="25">
        <f>'Mini Baby'!E5</f>
        <v>11.8</v>
      </c>
      <c r="C12" s="26" t="str">
        <f>'Mini Baby'!I5</f>
        <v>50-75</v>
      </c>
      <c r="D12" s="471"/>
      <c r="E12" s="472"/>
      <c r="F12" s="473"/>
      <c r="H12" s="20" t="s">
        <v>3</v>
      </c>
      <c r="I12" s="23">
        <f>'Mini Baby'!E10</f>
        <v>13.9</v>
      </c>
      <c r="J12" s="26">
        <f>'Mini Baby'!I10</f>
        <v>95</v>
      </c>
      <c r="K12" s="483"/>
      <c r="L12" s="472"/>
      <c r="M12" s="473"/>
    </row>
    <row r="13" spans="1:13" ht="14.25" customHeight="1">
      <c r="A13" s="20" t="s">
        <v>27</v>
      </c>
      <c r="B13" s="21">
        <f>'Mini Baby'!F5</f>
        <v>0.86</v>
      </c>
      <c r="C13" s="26" t="str">
        <f>'Mini Baby'!J5</f>
        <v>50-75</v>
      </c>
      <c r="D13" s="474"/>
      <c r="E13" s="475"/>
      <c r="F13" s="476"/>
      <c r="H13" s="20" t="s">
        <v>27</v>
      </c>
      <c r="I13" s="21">
        <f>'Mini Baby'!F10</f>
        <v>0.86</v>
      </c>
      <c r="J13" s="26">
        <f>'Mini Baby'!J10</f>
        <v>50</v>
      </c>
      <c r="K13" s="474"/>
      <c r="L13" s="475"/>
      <c r="M13" s="476"/>
    </row>
    <row r="14" spans="1:13" ht="14.25" customHeight="1">
      <c r="A14" s="20" t="s">
        <v>54</v>
      </c>
      <c r="B14" s="21">
        <f>'Mini Baby'!G5</f>
        <v>15.954570037858304</v>
      </c>
      <c r="C14" s="26">
        <f>'Mini Baby'!H5</f>
        <v>50</v>
      </c>
      <c r="D14" s="477"/>
      <c r="E14" s="478"/>
      <c r="F14" s="479"/>
      <c r="H14" s="20" t="s">
        <v>28</v>
      </c>
      <c r="I14" s="21">
        <f>'Mini Baby'!G10</f>
        <v>18.793942671714444</v>
      </c>
      <c r="J14" s="26" t="str">
        <f>'Mini Baby'!H10</f>
        <v>97-99</v>
      </c>
      <c r="K14" s="477"/>
      <c r="L14" s="478"/>
      <c r="M14" s="479"/>
    </row>
    <row r="15" spans="1:13" ht="14.25" customHeight="1">
      <c r="A15" s="24" t="s">
        <v>30</v>
      </c>
      <c r="B15" s="480" t="str">
        <f>'Mini Baby'!K5</f>
        <v>ADEQUADO</v>
      </c>
      <c r="C15" s="481"/>
      <c r="D15" s="481"/>
      <c r="E15" s="481"/>
      <c r="F15" s="482"/>
      <c r="H15" s="24" t="s">
        <v>30</v>
      </c>
      <c r="I15" s="480" t="str">
        <f>'Mini Baby'!K10</f>
        <v>SOBREPESO</v>
      </c>
      <c r="J15" s="481"/>
      <c r="K15" s="481"/>
      <c r="L15" s="481"/>
      <c r="M15" s="482"/>
    </row>
    <row r="16" spans="1:13" ht="6" customHeight="1"/>
    <row r="17" spans="1:13" ht="14.25" customHeight="1">
      <c r="A17" s="13" t="s">
        <v>21</v>
      </c>
      <c r="B17" s="487" t="str">
        <f>'Mini Baby'!A6</f>
        <v>Camilo Bernardo Municelli</v>
      </c>
      <c r="C17" s="485"/>
      <c r="D17" s="486"/>
      <c r="E17" s="14" t="s">
        <v>22</v>
      </c>
      <c r="F17" s="15">
        <f>'BERÇÁRIO 1'!$B$9</f>
        <v>45394</v>
      </c>
      <c r="H17" s="13" t="s">
        <v>21</v>
      </c>
      <c r="I17" s="487" t="str">
        <f>'Mini Baby'!A11</f>
        <v xml:space="preserve">Pérola de Lima B. Santos </v>
      </c>
      <c r="J17" s="485"/>
      <c r="K17" s="486"/>
      <c r="L17" s="14" t="s">
        <v>22</v>
      </c>
      <c r="M17" s="15">
        <f>'Mini Baby'!B11</f>
        <v>45072</v>
      </c>
    </row>
    <row r="18" spans="1:13" ht="14.25" customHeight="1">
      <c r="A18" s="466" t="s">
        <v>23</v>
      </c>
      <c r="B18" s="467"/>
      <c r="C18" s="467"/>
      <c r="D18" s="467"/>
      <c r="E18" s="467"/>
      <c r="F18" s="468"/>
      <c r="H18" s="466" t="s">
        <v>23</v>
      </c>
      <c r="I18" s="467"/>
      <c r="J18" s="467"/>
      <c r="K18" s="467"/>
      <c r="L18" s="467"/>
      <c r="M18" s="468"/>
    </row>
    <row r="19" spans="1:13" ht="14.25" customHeight="1">
      <c r="A19" s="16" t="s">
        <v>24</v>
      </c>
      <c r="B19" s="17">
        <f>'Mini Baby'!C6</f>
        <v>45729</v>
      </c>
      <c r="C19" s="18" t="s">
        <v>25</v>
      </c>
      <c r="D19" s="469" t="s">
        <v>26</v>
      </c>
      <c r="E19" s="470"/>
      <c r="F19" s="19" t="str">
        <f>'Mini Baby'!D6</f>
        <v>1a 9m</v>
      </c>
      <c r="H19" s="16" t="s">
        <v>24</v>
      </c>
      <c r="I19" s="17">
        <f>'Mini Baby'!C11</f>
        <v>0</v>
      </c>
      <c r="J19" s="18" t="s">
        <v>25</v>
      </c>
      <c r="K19" s="469" t="s">
        <v>26</v>
      </c>
      <c r="L19" s="470"/>
      <c r="M19" s="19">
        <f>'Mini Baby'!D11</f>
        <v>0</v>
      </c>
    </row>
    <row r="20" spans="1:13" ht="14.25" customHeight="1">
      <c r="A20" s="20" t="s">
        <v>3</v>
      </c>
      <c r="B20" s="23">
        <f>'Mini Baby'!E6</f>
        <v>12.5</v>
      </c>
      <c r="C20" s="26">
        <f>'Mini Baby'!I6</f>
        <v>75</v>
      </c>
      <c r="D20" s="471"/>
      <c r="E20" s="472"/>
      <c r="F20" s="473"/>
      <c r="H20" s="20" t="s">
        <v>3</v>
      </c>
      <c r="I20" s="23">
        <f>'Mini Baby'!E11</f>
        <v>0</v>
      </c>
      <c r="J20" s="26">
        <f>'Mini Baby'!I11</f>
        <v>0</v>
      </c>
      <c r="K20" s="483"/>
      <c r="L20" s="472"/>
      <c r="M20" s="473"/>
    </row>
    <row r="21" spans="1:13" ht="14.25" customHeight="1">
      <c r="A21" s="20" t="s">
        <v>27</v>
      </c>
      <c r="B21" s="23">
        <f>'Mini Baby'!F6</f>
        <v>0.86</v>
      </c>
      <c r="C21" s="26" t="str">
        <f>'Mini Baby'!J6</f>
        <v>50-75</v>
      </c>
      <c r="D21" s="474"/>
      <c r="E21" s="475"/>
      <c r="F21" s="476"/>
      <c r="H21" s="20" t="s">
        <v>27</v>
      </c>
      <c r="I21" s="21">
        <f>'Mini Baby'!F11</f>
        <v>0</v>
      </c>
      <c r="J21" s="26">
        <f>'Mini Baby'!J11</f>
        <v>0</v>
      </c>
      <c r="K21" s="474"/>
      <c r="L21" s="475"/>
      <c r="M21" s="476"/>
    </row>
    <row r="22" spans="1:13" ht="14.25" customHeight="1">
      <c r="A22" s="20" t="s">
        <v>55</v>
      </c>
      <c r="B22" s="21">
        <f>'Mini Baby'!G6</f>
        <v>16.901027582477017</v>
      </c>
      <c r="C22" s="26" t="str">
        <f>'Mini Baby'!H6</f>
        <v>75-85</v>
      </c>
      <c r="D22" s="477"/>
      <c r="E22" s="478"/>
      <c r="F22" s="479"/>
      <c r="H22" s="20" t="s">
        <v>28</v>
      </c>
      <c r="I22" s="21" t="e">
        <f>'Mini Baby'!G11</f>
        <v>#DIV/0!</v>
      </c>
      <c r="J22" s="26">
        <f>'Mini Baby'!H11</f>
        <v>0</v>
      </c>
      <c r="K22" s="477"/>
      <c r="L22" s="478"/>
      <c r="M22" s="479"/>
    </row>
    <row r="23" spans="1:13" ht="14.25" customHeight="1">
      <c r="A23" s="24" t="s">
        <v>30</v>
      </c>
      <c r="B23" s="480" t="str">
        <f>'Mini Baby'!K6</f>
        <v>ADEQUADO</v>
      </c>
      <c r="C23" s="481"/>
      <c r="D23" s="481"/>
      <c r="E23" s="481"/>
      <c r="F23" s="482"/>
      <c r="H23" s="24" t="s">
        <v>30</v>
      </c>
      <c r="I23" s="480">
        <f>'Mini Baby'!K11</f>
        <v>0</v>
      </c>
      <c r="J23" s="481"/>
      <c r="K23" s="481"/>
      <c r="L23" s="481"/>
      <c r="M23" s="482"/>
    </row>
    <row r="24" spans="1:13" ht="8.25" customHeight="1"/>
    <row r="25" spans="1:13" ht="14.25" customHeight="1">
      <c r="A25" s="13" t="s">
        <v>21</v>
      </c>
      <c r="B25" s="487" t="str">
        <f>'Mini Baby'!A7</f>
        <v>Cecília P. Manfrín</v>
      </c>
      <c r="C25" s="485"/>
      <c r="D25" s="486"/>
      <c r="E25" s="14" t="s">
        <v>22</v>
      </c>
      <c r="F25" s="15">
        <f>'BERÇÁRIO 1'!$B$10</f>
        <v>45520</v>
      </c>
      <c r="H25" s="13" t="s">
        <v>21</v>
      </c>
      <c r="I25" s="487">
        <f>'Mini Baby'!A12</f>
        <v>0</v>
      </c>
      <c r="J25" s="485"/>
      <c r="K25" s="486"/>
      <c r="L25" s="14" t="s">
        <v>22</v>
      </c>
      <c r="M25" s="15">
        <f>'Mini Baby'!B12</f>
        <v>0</v>
      </c>
    </row>
    <row r="26" spans="1:13" ht="14.25" customHeight="1">
      <c r="A26" s="466" t="s">
        <v>23</v>
      </c>
      <c r="B26" s="467"/>
      <c r="C26" s="467"/>
      <c r="D26" s="467"/>
      <c r="E26" s="467"/>
      <c r="F26" s="468"/>
      <c r="H26" s="466" t="s">
        <v>23</v>
      </c>
      <c r="I26" s="467"/>
      <c r="J26" s="467"/>
      <c r="K26" s="467"/>
      <c r="L26" s="467"/>
      <c r="M26" s="468"/>
    </row>
    <row r="27" spans="1:13" ht="14.25" customHeight="1">
      <c r="A27" s="16" t="s">
        <v>24</v>
      </c>
      <c r="B27" s="17">
        <f>'Mini Baby'!C7</f>
        <v>45729</v>
      </c>
      <c r="C27" s="18" t="s">
        <v>25</v>
      </c>
      <c r="D27" s="469" t="s">
        <v>26</v>
      </c>
      <c r="E27" s="470"/>
      <c r="F27" s="19" t="str">
        <f>'Mini Baby'!D7</f>
        <v>1a 7m</v>
      </c>
      <c r="H27" s="16" t="s">
        <v>24</v>
      </c>
      <c r="I27" s="17">
        <f>'Mini Baby'!C12</f>
        <v>0</v>
      </c>
      <c r="J27" s="18" t="s">
        <v>25</v>
      </c>
      <c r="K27" s="469" t="s">
        <v>26</v>
      </c>
      <c r="L27" s="470"/>
      <c r="M27" s="19">
        <f>'Mini Baby'!D12</f>
        <v>0</v>
      </c>
    </row>
    <row r="28" spans="1:13" ht="14.25" customHeight="1">
      <c r="A28" s="20" t="s">
        <v>3</v>
      </c>
      <c r="B28" s="25">
        <f>'Mini Baby'!E7</f>
        <v>11.8</v>
      </c>
      <c r="C28" s="26" t="str">
        <f>'Mini Baby'!I7</f>
        <v>75-85</v>
      </c>
      <c r="D28" s="471"/>
      <c r="E28" s="472"/>
      <c r="F28" s="473"/>
      <c r="H28" s="20" t="s">
        <v>3</v>
      </c>
      <c r="I28" s="23">
        <f>'Mini Baby'!E12</f>
        <v>0</v>
      </c>
      <c r="J28" s="26">
        <f>'Mini Baby'!I12</f>
        <v>0</v>
      </c>
      <c r="K28" s="483"/>
      <c r="L28" s="472"/>
      <c r="M28" s="473"/>
    </row>
    <row r="29" spans="1:13" ht="14.25" customHeight="1">
      <c r="A29" s="20" t="s">
        <v>27</v>
      </c>
      <c r="B29" s="21">
        <f>'Mini Baby'!F7</f>
        <v>0.8</v>
      </c>
      <c r="C29" s="26" t="str">
        <f>'Mini Baby'!J7</f>
        <v>25-50</v>
      </c>
      <c r="D29" s="474"/>
      <c r="E29" s="475"/>
      <c r="F29" s="476"/>
      <c r="H29" s="20" t="s">
        <v>27</v>
      </c>
      <c r="I29" s="21">
        <f>'Mini Baby'!F12</f>
        <v>0</v>
      </c>
      <c r="J29" s="26">
        <f>'Mini Baby'!J12</f>
        <v>0</v>
      </c>
      <c r="K29" s="474"/>
      <c r="L29" s="475"/>
      <c r="M29" s="476"/>
    </row>
    <row r="30" spans="1:13" ht="14.25" customHeight="1">
      <c r="A30" s="20" t="s">
        <v>56</v>
      </c>
      <c r="B30" s="21">
        <f>'Mini Baby'!G7</f>
        <v>18.437499999999996</v>
      </c>
      <c r="C30" s="26" t="str">
        <f>'Mini Baby'!H7</f>
        <v>95-97</v>
      </c>
      <c r="D30" s="477"/>
      <c r="E30" s="478"/>
      <c r="F30" s="479"/>
      <c r="H30" s="20" t="s">
        <v>28</v>
      </c>
      <c r="I30" s="21">
        <f>'Mini Baby'!G12</f>
        <v>0</v>
      </c>
      <c r="J30" s="26">
        <f>'Mini Baby'!H12</f>
        <v>0</v>
      </c>
      <c r="K30" s="477"/>
      <c r="L30" s="478"/>
      <c r="M30" s="479"/>
    </row>
    <row r="31" spans="1:13" ht="14.25" customHeight="1">
      <c r="A31" s="24" t="s">
        <v>30</v>
      </c>
      <c r="B31" s="480" t="str">
        <f>'Mini Baby'!K7</f>
        <v>ADEQUADO</v>
      </c>
      <c r="C31" s="481"/>
      <c r="D31" s="481"/>
      <c r="E31" s="481"/>
      <c r="F31" s="482"/>
      <c r="H31" s="24" t="s">
        <v>30</v>
      </c>
      <c r="I31" s="480">
        <f>'Mini Baby'!K12</f>
        <v>0</v>
      </c>
      <c r="J31" s="481"/>
      <c r="K31" s="481"/>
      <c r="L31" s="481"/>
      <c r="M31" s="482"/>
    </row>
    <row r="32" spans="1:13" ht="14.25" customHeight="1"/>
    <row r="33" spans="1:13" ht="14.25" customHeight="1">
      <c r="A33" s="13" t="s">
        <v>21</v>
      </c>
      <c r="B33" s="487" t="str">
        <f>'Mini Baby'!A8</f>
        <v>Helena dos Santos Pereira</v>
      </c>
      <c r="C33" s="485"/>
      <c r="D33" s="486"/>
      <c r="E33" s="14" t="s">
        <v>22</v>
      </c>
      <c r="F33" s="15">
        <f>'BERÇÁRIO 1'!$B$12</f>
        <v>0</v>
      </c>
      <c r="H33" s="13" t="s">
        <v>21</v>
      </c>
      <c r="I33" s="487">
        <f>'Mini Baby'!A13</f>
        <v>0</v>
      </c>
      <c r="J33" s="485"/>
      <c r="K33" s="486"/>
      <c r="L33" s="14" t="s">
        <v>22</v>
      </c>
      <c r="M33" s="15">
        <f>'Mini Baby'!B13</f>
        <v>0</v>
      </c>
    </row>
    <row r="34" spans="1:13" ht="14.25" customHeight="1">
      <c r="A34" s="466" t="s">
        <v>23</v>
      </c>
      <c r="B34" s="467"/>
      <c r="C34" s="467"/>
      <c r="D34" s="467"/>
      <c r="E34" s="467"/>
      <c r="F34" s="468"/>
      <c r="H34" s="466" t="s">
        <v>23</v>
      </c>
      <c r="I34" s="467"/>
      <c r="J34" s="467"/>
      <c r="K34" s="467"/>
      <c r="L34" s="467"/>
      <c r="M34" s="468"/>
    </row>
    <row r="35" spans="1:13" ht="14.25" customHeight="1">
      <c r="A35" s="16" t="s">
        <v>24</v>
      </c>
      <c r="B35" s="17">
        <f>'Mini Baby'!C8</f>
        <v>45729</v>
      </c>
      <c r="C35" s="18" t="s">
        <v>25</v>
      </c>
      <c r="D35" s="469" t="s">
        <v>26</v>
      </c>
      <c r="E35" s="470"/>
      <c r="F35" s="19" t="str">
        <f>'Mini Baby'!D8</f>
        <v>1a 10m</v>
      </c>
      <c r="H35" s="16" t="s">
        <v>24</v>
      </c>
      <c r="I35" s="17">
        <f>'Mini Baby'!C13</f>
        <v>0</v>
      </c>
      <c r="J35" s="18" t="s">
        <v>25</v>
      </c>
      <c r="K35" s="469" t="s">
        <v>26</v>
      </c>
      <c r="L35" s="470"/>
      <c r="M35" s="19">
        <f>'Mini Baby'!D13</f>
        <v>0</v>
      </c>
    </row>
    <row r="36" spans="1:13" ht="14.25" customHeight="1">
      <c r="A36" s="20" t="s">
        <v>3</v>
      </c>
      <c r="B36" s="23">
        <f>'Mini Baby'!E8</f>
        <v>10.4</v>
      </c>
      <c r="C36" s="26" t="str">
        <f>'Mini Baby'!I8</f>
        <v>25-50</v>
      </c>
      <c r="D36" s="471"/>
      <c r="E36" s="472"/>
      <c r="F36" s="473"/>
      <c r="H36" s="20" t="s">
        <v>3</v>
      </c>
      <c r="I36" s="23">
        <f>'Mini Baby'!E13</f>
        <v>0</v>
      </c>
      <c r="J36" s="26">
        <f>'Mini Baby'!I13</f>
        <v>0</v>
      </c>
      <c r="K36" s="483"/>
      <c r="L36" s="472"/>
      <c r="M36" s="473"/>
    </row>
    <row r="37" spans="1:13" ht="14.25" customHeight="1">
      <c r="A37" s="20" t="s">
        <v>27</v>
      </c>
      <c r="B37" s="21">
        <f>'Mini Baby'!F8</f>
        <v>0.84</v>
      </c>
      <c r="C37" s="26" t="str">
        <f>'Mini Baby'!J8</f>
        <v>25-50</v>
      </c>
      <c r="D37" s="474"/>
      <c r="E37" s="475"/>
      <c r="F37" s="476"/>
      <c r="H37" s="20" t="s">
        <v>27</v>
      </c>
      <c r="I37" s="21">
        <f>'Mini Baby'!F13</f>
        <v>0</v>
      </c>
      <c r="J37" s="26">
        <f>'Mini Baby'!J13</f>
        <v>0</v>
      </c>
      <c r="K37" s="474"/>
      <c r="L37" s="475"/>
      <c r="M37" s="476"/>
    </row>
    <row r="38" spans="1:13" ht="14.25" customHeight="1">
      <c r="A38" s="20" t="s">
        <v>57</v>
      </c>
      <c r="B38" s="21">
        <f>'Mini Baby'!G8</f>
        <v>14.739229024943313</v>
      </c>
      <c r="C38" s="26" t="str">
        <f>'Mini Baby'!H8</f>
        <v>25-50</v>
      </c>
      <c r="D38" s="477"/>
      <c r="E38" s="478"/>
      <c r="F38" s="479"/>
      <c r="H38" s="20" t="s">
        <v>28</v>
      </c>
      <c r="I38" s="21">
        <f>'Mini Baby'!G13</f>
        <v>0</v>
      </c>
      <c r="J38" s="26">
        <f>'Mini Baby'!H13</f>
        <v>0</v>
      </c>
      <c r="K38" s="477"/>
      <c r="L38" s="478"/>
      <c r="M38" s="479"/>
    </row>
    <row r="39" spans="1:13" ht="14.25" customHeight="1">
      <c r="A39" s="24" t="s">
        <v>30</v>
      </c>
      <c r="B39" s="480" t="str">
        <f>'Mini Baby'!K8</f>
        <v>ADEQUADO</v>
      </c>
      <c r="C39" s="481"/>
      <c r="D39" s="481"/>
      <c r="E39" s="481"/>
      <c r="F39" s="482"/>
      <c r="H39" s="24" t="s">
        <v>30</v>
      </c>
      <c r="I39" s="480">
        <f>'Mini Baby'!K13</f>
        <v>0</v>
      </c>
      <c r="J39" s="481"/>
      <c r="K39" s="481"/>
      <c r="L39" s="481"/>
      <c r="M39" s="482"/>
    </row>
    <row r="40" spans="1:13" ht="14.25" customHeight="1"/>
    <row r="41" spans="1:13" ht="14.25" customHeight="1">
      <c r="H41" s="13" t="s">
        <v>21</v>
      </c>
      <c r="I41" s="487" t="e">
        <f>#REF!</f>
        <v>#REF!</v>
      </c>
      <c r="J41" s="485"/>
      <c r="K41" s="486"/>
      <c r="L41" s="14" t="s">
        <v>22</v>
      </c>
      <c r="M41" s="15" t="e">
        <f>#REF!</f>
        <v>#REF!</v>
      </c>
    </row>
    <row r="42" spans="1:13" ht="14.25" customHeight="1">
      <c r="H42" s="466" t="s">
        <v>23</v>
      </c>
      <c r="I42" s="467"/>
      <c r="J42" s="467"/>
      <c r="K42" s="467"/>
      <c r="L42" s="467"/>
      <c r="M42" s="468"/>
    </row>
    <row r="43" spans="1:13" ht="14.25" customHeight="1">
      <c r="H43" s="16" t="s">
        <v>24</v>
      </c>
      <c r="I43" s="17" t="e">
        <f>#REF!</f>
        <v>#REF!</v>
      </c>
      <c r="J43" s="18" t="s">
        <v>25</v>
      </c>
      <c r="K43" s="469" t="s">
        <v>26</v>
      </c>
      <c r="L43" s="470"/>
      <c r="M43" s="19" t="e">
        <f>#REF!</f>
        <v>#REF!</v>
      </c>
    </row>
    <row r="44" spans="1:13" ht="14.25" customHeight="1">
      <c r="H44" s="20" t="s">
        <v>3</v>
      </c>
      <c r="I44" s="23" t="e">
        <f>#REF!</f>
        <v>#REF!</v>
      </c>
      <c r="J44" s="26" t="e">
        <f>#REF!</f>
        <v>#REF!</v>
      </c>
      <c r="K44" s="483"/>
      <c r="L44" s="472"/>
      <c r="M44" s="473"/>
    </row>
    <row r="45" spans="1:13" ht="14.25" customHeight="1">
      <c r="H45" s="20" t="s">
        <v>27</v>
      </c>
      <c r="I45" s="21" t="e">
        <f>#REF!</f>
        <v>#REF!</v>
      </c>
      <c r="J45" s="26" t="e">
        <f>#REF!</f>
        <v>#REF!</v>
      </c>
      <c r="K45" s="474"/>
      <c r="L45" s="475"/>
      <c r="M45" s="476"/>
    </row>
    <row r="46" spans="1:13" ht="14.25" customHeight="1">
      <c r="H46" s="20" t="s">
        <v>58</v>
      </c>
      <c r="I46" s="21" t="e">
        <f>#REF!</f>
        <v>#REF!</v>
      </c>
      <c r="J46" s="26" t="e">
        <f>#REF!</f>
        <v>#REF!</v>
      </c>
      <c r="K46" s="477"/>
      <c r="L46" s="478"/>
      <c r="M46" s="479"/>
    </row>
    <row r="47" spans="1:13" ht="14.25" customHeight="1">
      <c r="H47" s="24" t="s">
        <v>30</v>
      </c>
      <c r="I47" s="480" t="e">
        <f>#REF!</f>
        <v>#REF!</v>
      </c>
      <c r="J47" s="481"/>
      <c r="K47" s="481"/>
      <c r="L47" s="481"/>
      <c r="M47" s="482"/>
    </row>
    <row r="48" spans="1:13" ht="14.25" customHeight="1"/>
    <row r="49" spans="8:13" ht="14.25" customHeight="1">
      <c r="H49" s="13" t="s">
        <v>21</v>
      </c>
      <c r="I49" s="487" t="str">
        <f>'Maternal A '!A7</f>
        <v>Gabriel P. Cappi Ferreira</v>
      </c>
      <c r="J49" s="485"/>
      <c r="K49" s="486"/>
      <c r="L49" s="14" t="s">
        <v>22</v>
      </c>
      <c r="M49" s="15">
        <f>'Maternal A '!B7</f>
        <v>44504</v>
      </c>
    </row>
    <row r="50" spans="8:13" ht="14.25" customHeight="1">
      <c r="H50" s="466" t="s">
        <v>23</v>
      </c>
      <c r="I50" s="467"/>
      <c r="J50" s="467"/>
      <c r="K50" s="467"/>
      <c r="L50" s="467"/>
      <c r="M50" s="468"/>
    </row>
    <row r="51" spans="8:13" ht="14.25" customHeight="1">
      <c r="H51" s="16" t="s">
        <v>24</v>
      </c>
      <c r="I51" s="17">
        <f>'Maternal A '!C7</f>
        <v>0</v>
      </c>
      <c r="J51" s="18" t="s">
        <v>25</v>
      </c>
      <c r="K51" s="469" t="s">
        <v>26</v>
      </c>
      <c r="L51" s="470"/>
      <c r="M51" s="19">
        <f>'Maternal A '!D7</f>
        <v>0</v>
      </c>
    </row>
    <row r="52" spans="8:13" ht="14.25" customHeight="1">
      <c r="H52" s="20" t="s">
        <v>3</v>
      </c>
      <c r="I52" s="23">
        <f>'Maternal A '!E7</f>
        <v>0</v>
      </c>
      <c r="J52" s="26">
        <f>'Maternal A '!I7</f>
        <v>0</v>
      </c>
      <c r="K52" s="483"/>
      <c r="L52" s="472"/>
      <c r="M52" s="473"/>
    </row>
    <row r="53" spans="8:13" ht="14.25" customHeight="1">
      <c r="H53" s="20" t="s">
        <v>27</v>
      </c>
      <c r="I53" s="21">
        <f>'Maternal A '!F7</f>
        <v>0</v>
      </c>
      <c r="J53" s="26">
        <f>'Maternal A '!J7</f>
        <v>0</v>
      </c>
      <c r="K53" s="474"/>
      <c r="L53" s="475"/>
      <c r="M53" s="476"/>
    </row>
    <row r="54" spans="8:13" ht="14.25" customHeight="1">
      <c r="H54" s="20" t="s">
        <v>59</v>
      </c>
      <c r="I54" s="21" t="e">
        <f>'Maternal A '!G7</f>
        <v>#DIV/0!</v>
      </c>
      <c r="J54" s="26">
        <f>'Maternal A '!H7</f>
        <v>0</v>
      </c>
      <c r="K54" s="477"/>
      <c r="L54" s="478"/>
      <c r="M54" s="479"/>
    </row>
    <row r="55" spans="8:13" ht="14.25" customHeight="1">
      <c r="H55" s="24" t="s">
        <v>30</v>
      </c>
      <c r="I55" s="480">
        <f>'Maternal A '!K7</f>
        <v>0</v>
      </c>
      <c r="J55" s="481"/>
      <c r="K55" s="481"/>
      <c r="L55" s="481"/>
      <c r="M55" s="482"/>
    </row>
    <row r="56" spans="8:13" ht="14.25" customHeight="1"/>
    <row r="57" spans="8:13" ht="14.25" customHeight="1">
      <c r="H57" s="13" t="s">
        <v>21</v>
      </c>
      <c r="I57" s="487" t="e">
        <f>#REF!</f>
        <v>#REF!</v>
      </c>
      <c r="J57" s="485"/>
      <c r="K57" s="486"/>
      <c r="L57" s="14" t="s">
        <v>22</v>
      </c>
      <c r="M57" s="15" t="e">
        <f>#REF!</f>
        <v>#REF!</v>
      </c>
    </row>
    <row r="58" spans="8:13" ht="14.25" customHeight="1">
      <c r="H58" s="466" t="s">
        <v>23</v>
      </c>
      <c r="I58" s="467"/>
      <c r="J58" s="467"/>
      <c r="K58" s="467"/>
      <c r="L58" s="467"/>
      <c r="M58" s="468"/>
    </row>
    <row r="59" spans="8:13" ht="14.25" customHeight="1">
      <c r="H59" s="16" t="s">
        <v>24</v>
      </c>
      <c r="I59" s="17" t="e">
        <f>#REF!</f>
        <v>#REF!</v>
      </c>
      <c r="J59" s="18" t="s">
        <v>25</v>
      </c>
      <c r="K59" s="469" t="s">
        <v>26</v>
      </c>
      <c r="L59" s="470"/>
      <c r="M59" s="19" t="e">
        <f>#REF!</f>
        <v>#REF!</v>
      </c>
    </row>
    <row r="60" spans="8:13" ht="14.25" customHeight="1">
      <c r="H60" s="20" t="s">
        <v>3</v>
      </c>
      <c r="I60" s="23" t="e">
        <f>#REF!</f>
        <v>#REF!</v>
      </c>
      <c r="J60" s="26" t="e">
        <f>#REF!</f>
        <v>#REF!</v>
      </c>
      <c r="K60" s="483"/>
      <c r="L60" s="472"/>
      <c r="M60" s="473"/>
    </row>
    <row r="61" spans="8:13" ht="14.25" customHeight="1">
      <c r="H61" s="20" t="s">
        <v>27</v>
      </c>
      <c r="I61" s="21" t="e">
        <f>#REF!</f>
        <v>#REF!</v>
      </c>
      <c r="J61" s="26" t="e">
        <f>#REF!</f>
        <v>#REF!</v>
      </c>
      <c r="K61" s="474"/>
      <c r="L61" s="475"/>
      <c r="M61" s="476"/>
    </row>
    <row r="62" spans="8:13" ht="14.25" customHeight="1">
      <c r="H62" s="20" t="s">
        <v>60</v>
      </c>
      <c r="I62" s="21" t="e">
        <f>#REF!</f>
        <v>#REF!</v>
      </c>
      <c r="J62" s="26" t="e">
        <f>#REF!</f>
        <v>#REF!</v>
      </c>
      <c r="K62" s="477"/>
      <c r="L62" s="478"/>
      <c r="M62" s="479"/>
    </row>
    <row r="63" spans="8:13" ht="14.25" customHeight="1">
      <c r="H63" s="24" t="s">
        <v>30</v>
      </c>
      <c r="I63" s="480" t="e">
        <f>#REF!</f>
        <v>#REF!</v>
      </c>
      <c r="J63" s="481"/>
      <c r="K63" s="481"/>
      <c r="L63" s="481"/>
      <c r="M63" s="482"/>
    </row>
    <row r="64" spans="8:13" ht="14.25" customHeight="1"/>
    <row r="65" spans="8:13" ht="14.25" customHeight="1">
      <c r="H65" s="13" t="s">
        <v>21</v>
      </c>
      <c r="I65" s="487" t="e">
        <f>#REF!</f>
        <v>#REF!</v>
      </c>
      <c r="J65" s="485"/>
      <c r="K65" s="486"/>
      <c r="L65" s="14" t="s">
        <v>22</v>
      </c>
      <c r="M65" s="15" t="e">
        <f>#REF!</f>
        <v>#REF!</v>
      </c>
    </row>
    <row r="66" spans="8:13" ht="14.25" customHeight="1">
      <c r="H66" s="466" t="s">
        <v>23</v>
      </c>
      <c r="I66" s="467"/>
      <c r="J66" s="467"/>
      <c r="K66" s="467"/>
      <c r="L66" s="467"/>
      <c r="M66" s="468"/>
    </row>
    <row r="67" spans="8:13" ht="14.25" customHeight="1">
      <c r="H67" s="16" t="s">
        <v>24</v>
      </c>
      <c r="I67" s="17" t="e">
        <f>#REF!</f>
        <v>#REF!</v>
      </c>
      <c r="J67" s="18" t="s">
        <v>25</v>
      </c>
      <c r="K67" s="469" t="s">
        <v>26</v>
      </c>
      <c r="L67" s="470"/>
      <c r="M67" s="19" t="e">
        <f>#REF!</f>
        <v>#REF!</v>
      </c>
    </row>
    <row r="68" spans="8:13" ht="14.25" customHeight="1">
      <c r="H68" s="20" t="s">
        <v>3</v>
      </c>
      <c r="I68" s="23" t="e">
        <f>#REF!</f>
        <v>#REF!</v>
      </c>
      <c r="J68" s="26" t="e">
        <f>#REF!</f>
        <v>#REF!</v>
      </c>
      <c r="K68" s="483"/>
      <c r="L68" s="472"/>
      <c r="M68" s="473"/>
    </row>
    <row r="69" spans="8:13" ht="14.25" customHeight="1">
      <c r="H69" s="20" t="s">
        <v>27</v>
      </c>
      <c r="I69" s="21" t="e">
        <f>#REF!</f>
        <v>#REF!</v>
      </c>
      <c r="J69" s="26" t="e">
        <f>#REF!</f>
        <v>#REF!</v>
      </c>
      <c r="K69" s="474"/>
      <c r="L69" s="475"/>
      <c r="M69" s="476"/>
    </row>
    <row r="70" spans="8:13" ht="14.25" customHeight="1">
      <c r="H70" s="20" t="s">
        <v>61</v>
      </c>
      <c r="I70" s="21" t="e">
        <f>#REF!</f>
        <v>#REF!</v>
      </c>
      <c r="J70" s="26" t="e">
        <f>#REF!</f>
        <v>#REF!</v>
      </c>
      <c r="K70" s="477"/>
      <c r="L70" s="478"/>
      <c r="M70" s="479"/>
    </row>
    <row r="71" spans="8:13" ht="14.25" customHeight="1">
      <c r="H71" s="24" t="s">
        <v>30</v>
      </c>
      <c r="I71" s="480" t="e">
        <f>#REF!</f>
        <v>#REF!</v>
      </c>
      <c r="J71" s="481"/>
      <c r="K71" s="481"/>
      <c r="L71" s="481"/>
      <c r="M71" s="482"/>
    </row>
    <row r="72" spans="8:13" ht="14.25" customHeight="1"/>
    <row r="73" spans="8:13" ht="14.25" customHeight="1"/>
    <row r="74" spans="8:13" ht="14.25" customHeight="1"/>
    <row r="75" spans="8:13" ht="14.25" customHeight="1"/>
    <row r="76" spans="8:13" ht="14.25" customHeight="1"/>
    <row r="77" spans="8:13" ht="14.25" customHeight="1"/>
    <row r="78" spans="8:13" ht="14.25" customHeight="1"/>
    <row r="79" spans="8:13" ht="14.25" customHeight="1"/>
    <row r="80" spans="8:1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0">
    <mergeCell ref="H34:M34"/>
    <mergeCell ref="K35:L35"/>
    <mergeCell ref="K36:M38"/>
    <mergeCell ref="I39:M39"/>
    <mergeCell ref="I41:K41"/>
    <mergeCell ref="H42:M42"/>
    <mergeCell ref="K43:L43"/>
    <mergeCell ref="K44:M46"/>
    <mergeCell ref="I47:M47"/>
    <mergeCell ref="I49:K49"/>
    <mergeCell ref="H50:M50"/>
    <mergeCell ref="B1:D1"/>
    <mergeCell ref="I1:K1"/>
    <mergeCell ref="A2:F2"/>
    <mergeCell ref="H2:M2"/>
    <mergeCell ref="D3:E3"/>
    <mergeCell ref="K3:L3"/>
    <mergeCell ref="K4:M6"/>
    <mergeCell ref="D4:F6"/>
    <mergeCell ref="B7:F7"/>
    <mergeCell ref="B9:D9"/>
    <mergeCell ref="A10:F10"/>
    <mergeCell ref="D11:E11"/>
    <mergeCell ref="D12:F14"/>
    <mergeCell ref="B15:F15"/>
    <mergeCell ref="I7:M7"/>
    <mergeCell ref="I9:K9"/>
    <mergeCell ref="H10:M10"/>
    <mergeCell ref="K11:L11"/>
    <mergeCell ref="K12:M14"/>
    <mergeCell ref="I15:M15"/>
    <mergeCell ref="I17:K17"/>
    <mergeCell ref="D27:E27"/>
    <mergeCell ref="D28:F30"/>
    <mergeCell ref="B31:F31"/>
    <mergeCell ref="B33:D33"/>
    <mergeCell ref="H18:M18"/>
    <mergeCell ref="K19:L19"/>
    <mergeCell ref="K20:M22"/>
    <mergeCell ref="I23:M23"/>
    <mergeCell ref="I25:K25"/>
    <mergeCell ref="H26:M26"/>
    <mergeCell ref="K27:L27"/>
    <mergeCell ref="K28:M30"/>
    <mergeCell ref="I31:M31"/>
    <mergeCell ref="I33:K33"/>
    <mergeCell ref="A34:F34"/>
    <mergeCell ref="D35:E35"/>
    <mergeCell ref="D36:F38"/>
    <mergeCell ref="B39:F39"/>
    <mergeCell ref="B17:D17"/>
    <mergeCell ref="A18:F18"/>
    <mergeCell ref="D19:E19"/>
    <mergeCell ref="D20:F22"/>
    <mergeCell ref="B23:F23"/>
    <mergeCell ref="B25:D25"/>
    <mergeCell ref="A26:F26"/>
    <mergeCell ref="I71:M71"/>
    <mergeCell ref="K51:L51"/>
    <mergeCell ref="K52:M54"/>
    <mergeCell ref="I55:M55"/>
    <mergeCell ref="I57:K57"/>
    <mergeCell ref="H58:M58"/>
    <mergeCell ref="K59:L59"/>
    <mergeCell ref="K60:M62"/>
    <mergeCell ref="I63:M63"/>
    <mergeCell ref="I65:K65"/>
    <mergeCell ref="H66:M66"/>
    <mergeCell ref="K67:L67"/>
    <mergeCell ref="K68:M70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5496"/>
  </sheetPr>
  <dimension ref="A1:Z1001"/>
  <sheetViews>
    <sheetView workbookViewId="0">
      <selection sqref="A1:K14"/>
    </sheetView>
  </sheetViews>
  <sheetFormatPr defaultColWidth="14.44140625" defaultRowHeight="15" customHeight="1"/>
  <cols>
    <col min="1" max="1" width="25.33203125" customWidth="1"/>
    <col min="2" max="3" width="11.109375" customWidth="1"/>
    <col min="4" max="4" width="6.6640625" customWidth="1"/>
    <col min="5" max="5" width="6.33203125" customWidth="1"/>
    <col min="6" max="6" width="9.6640625" customWidth="1"/>
    <col min="7" max="7" width="8" customWidth="1"/>
    <col min="8" max="8" width="6.33203125" customWidth="1"/>
    <col min="9" max="10" width="5.6640625" customWidth="1"/>
    <col min="11" max="11" width="18.44140625" customWidth="1"/>
    <col min="12" max="12" width="3.33203125" customWidth="1"/>
    <col min="13" max="13" width="12.5546875" customWidth="1"/>
    <col min="14" max="14" width="6.109375" customWidth="1"/>
    <col min="15" max="15" width="7" customWidth="1"/>
    <col min="16" max="26" width="9.109375" customWidth="1"/>
  </cols>
  <sheetData>
    <row r="1" spans="1:26" ht="14.25" customHeight="1">
      <c r="A1" s="489" t="s">
        <v>155</v>
      </c>
      <c r="B1" s="490"/>
      <c r="C1" s="490"/>
      <c r="D1" s="490"/>
      <c r="E1" s="490"/>
      <c r="F1" s="490"/>
      <c r="G1" s="490"/>
      <c r="H1" s="490"/>
      <c r="I1" s="490"/>
      <c r="J1" s="49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/>
      <c r="B2" s="3"/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2" customHeight="1">
      <c r="A3" s="133"/>
      <c r="B3" s="133" t="s">
        <v>0</v>
      </c>
      <c r="C3" s="133" t="s">
        <v>1</v>
      </c>
      <c r="D3" s="133" t="s">
        <v>2</v>
      </c>
      <c r="E3" s="133" t="s">
        <v>3</v>
      </c>
      <c r="F3" s="133" t="s">
        <v>4</v>
      </c>
      <c r="G3" s="133" t="s">
        <v>5</v>
      </c>
      <c r="H3" s="133" t="s">
        <v>6</v>
      </c>
      <c r="I3" s="133" t="s">
        <v>7</v>
      </c>
      <c r="J3" s="133" t="s">
        <v>8</v>
      </c>
      <c r="K3" s="133" t="s">
        <v>9</v>
      </c>
      <c r="L3" s="7"/>
      <c r="M3" s="8"/>
      <c r="N3" s="8" t="s">
        <v>10</v>
      </c>
      <c r="O3" s="8" t="s">
        <v>11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>
      <c r="A4" s="277" t="s">
        <v>174</v>
      </c>
      <c r="B4" s="253">
        <v>44708</v>
      </c>
      <c r="C4" s="220">
        <v>45729</v>
      </c>
      <c r="D4" s="283" t="s">
        <v>223</v>
      </c>
      <c r="E4" s="263">
        <v>12.2</v>
      </c>
      <c r="F4" s="263">
        <v>0.91</v>
      </c>
      <c r="G4" s="278">
        <f t="shared" ref="G4:G13" si="0">E4/(F4*F4)</f>
        <v>14.73252022702572</v>
      </c>
      <c r="H4" s="387" t="s">
        <v>274</v>
      </c>
      <c r="I4" s="233">
        <v>25</v>
      </c>
      <c r="J4" s="233" t="s">
        <v>274</v>
      </c>
      <c r="K4" s="217" t="s">
        <v>290</v>
      </c>
      <c r="L4" s="45"/>
      <c r="M4" s="29" t="s">
        <v>12</v>
      </c>
      <c r="N4" s="8"/>
      <c r="O4" s="8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277" t="s">
        <v>143</v>
      </c>
      <c r="B5" s="253">
        <v>44716</v>
      </c>
      <c r="C5" s="220">
        <v>45729</v>
      </c>
      <c r="D5" s="283" t="s">
        <v>223</v>
      </c>
      <c r="E5" s="263">
        <v>10.9</v>
      </c>
      <c r="F5" s="263">
        <v>0.86</v>
      </c>
      <c r="G5" s="278">
        <f t="shared" si="0"/>
        <v>14.73769605191996</v>
      </c>
      <c r="H5" s="387" t="s">
        <v>274</v>
      </c>
      <c r="I5" s="233" t="s">
        <v>273</v>
      </c>
      <c r="J5" s="233">
        <v>3</v>
      </c>
      <c r="K5" s="217" t="s">
        <v>290</v>
      </c>
      <c r="L5" s="1"/>
      <c r="M5" s="29" t="s">
        <v>13</v>
      </c>
      <c r="N5" s="8">
        <v>4</v>
      </c>
      <c r="O5" s="8">
        <v>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277" t="s">
        <v>175</v>
      </c>
      <c r="B6" s="254">
        <v>44744</v>
      </c>
      <c r="C6" s="220">
        <v>45729</v>
      </c>
      <c r="D6" s="283" t="s">
        <v>224</v>
      </c>
      <c r="E6" s="263">
        <v>14.1</v>
      </c>
      <c r="F6" s="263">
        <v>0.91</v>
      </c>
      <c r="G6" s="278">
        <f t="shared" si="0"/>
        <v>17.026929114841202</v>
      </c>
      <c r="H6" s="387" t="s">
        <v>271</v>
      </c>
      <c r="I6" s="233" t="s">
        <v>275</v>
      </c>
      <c r="J6" s="233" t="s">
        <v>274</v>
      </c>
      <c r="K6" s="217" t="s">
        <v>288</v>
      </c>
      <c r="L6" s="1"/>
      <c r="M6" s="29" t="s">
        <v>15</v>
      </c>
      <c r="N6" s="8">
        <v>2</v>
      </c>
      <c r="O6" s="8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265" t="s">
        <v>40</v>
      </c>
      <c r="B7" s="261">
        <v>44817</v>
      </c>
      <c r="C7" s="209">
        <v>45729</v>
      </c>
      <c r="D7" s="273" t="s">
        <v>225</v>
      </c>
      <c r="E7" s="264">
        <v>16.8</v>
      </c>
      <c r="F7" s="264">
        <v>0.94</v>
      </c>
      <c r="G7" s="268">
        <f t="shared" si="0"/>
        <v>19.013128112267996</v>
      </c>
      <c r="H7" s="388" t="s">
        <v>270</v>
      </c>
      <c r="I7" s="386" t="s">
        <v>270</v>
      </c>
      <c r="J7" s="386" t="s">
        <v>275</v>
      </c>
      <c r="K7" s="367" t="s">
        <v>289</v>
      </c>
      <c r="L7" s="1"/>
      <c r="M7" s="29" t="s">
        <v>17</v>
      </c>
      <c r="N7" s="8"/>
      <c r="O7" s="8">
        <v>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277" t="s">
        <v>176</v>
      </c>
      <c r="B8" s="253" t="s">
        <v>177</v>
      </c>
      <c r="C8" s="220">
        <v>45729</v>
      </c>
      <c r="D8" s="283" t="s">
        <v>226</v>
      </c>
      <c r="E8" s="263">
        <v>14.9</v>
      </c>
      <c r="F8" s="263">
        <v>0.92</v>
      </c>
      <c r="G8" s="278">
        <f t="shared" si="0"/>
        <v>17.603969754253306</v>
      </c>
      <c r="H8" s="387" t="s">
        <v>271</v>
      </c>
      <c r="I8" s="233" t="s">
        <v>271</v>
      </c>
      <c r="J8" s="233" t="s">
        <v>275</v>
      </c>
      <c r="K8" s="217" t="s">
        <v>288</v>
      </c>
      <c r="L8" s="1"/>
      <c r="M8" s="29" t="s">
        <v>18</v>
      </c>
      <c r="N8" s="8">
        <f>SUM(N5:N7)</f>
        <v>6</v>
      </c>
      <c r="O8" s="8">
        <f>SUM(O7)</f>
        <v>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266" t="s">
        <v>178</v>
      </c>
      <c r="B9" s="262">
        <v>44842</v>
      </c>
      <c r="C9" s="209">
        <v>45729</v>
      </c>
      <c r="D9" s="273" t="s">
        <v>227</v>
      </c>
      <c r="E9" s="264">
        <v>12.1</v>
      </c>
      <c r="F9" s="264">
        <v>0.92</v>
      </c>
      <c r="G9" s="267">
        <f t="shared" si="0"/>
        <v>14.295841209829867</v>
      </c>
      <c r="H9" s="276" t="s">
        <v>273</v>
      </c>
      <c r="I9" s="126">
        <v>25</v>
      </c>
      <c r="J9" s="126" t="s">
        <v>275</v>
      </c>
      <c r="K9" s="99" t="s">
        <v>290</v>
      </c>
      <c r="L9" s="1"/>
      <c r="M9" s="29" t="s">
        <v>19</v>
      </c>
      <c r="N9" s="198"/>
      <c r="O9" s="194">
        <f>SUM(N8:O8)</f>
        <v>7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277" t="s">
        <v>179</v>
      </c>
      <c r="B10" s="253">
        <v>44922</v>
      </c>
      <c r="C10" s="220">
        <v>45729</v>
      </c>
      <c r="D10" s="283" t="s">
        <v>228</v>
      </c>
      <c r="E10" s="263">
        <v>12.2</v>
      </c>
      <c r="F10" s="263">
        <v>0.85</v>
      </c>
      <c r="G10" s="278">
        <f t="shared" si="0"/>
        <v>16.885813148788927</v>
      </c>
      <c r="H10" s="387" t="s">
        <v>269</v>
      </c>
      <c r="I10" s="233" t="s">
        <v>275</v>
      </c>
      <c r="J10" s="233" t="s">
        <v>272</v>
      </c>
      <c r="K10" s="217" t="s">
        <v>290</v>
      </c>
      <c r="L10" s="1"/>
      <c r="M10" s="11"/>
      <c r="N10" s="49"/>
      <c r="O10" s="50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263" t="s">
        <v>180</v>
      </c>
      <c r="B11" s="252">
        <v>44989</v>
      </c>
      <c r="C11" s="220">
        <v>45729</v>
      </c>
      <c r="D11" s="283" t="s">
        <v>229</v>
      </c>
      <c r="E11" s="263">
        <v>10.4</v>
      </c>
      <c r="F11" s="263">
        <v>0.82</v>
      </c>
      <c r="G11" s="278">
        <f t="shared" si="0"/>
        <v>15.466983938132067</v>
      </c>
      <c r="H11" s="387" t="s">
        <v>274</v>
      </c>
      <c r="I11" s="233" t="s">
        <v>272</v>
      </c>
      <c r="J11" s="233" t="s">
        <v>273</v>
      </c>
      <c r="K11" s="217" t="s">
        <v>290</v>
      </c>
      <c r="L11" s="28"/>
      <c r="M11" s="12"/>
      <c r="N11" s="12"/>
      <c r="O11" s="12"/>
      <c r="P11" s="45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266" t="s">
        <v>181</v>
      </c>
      <c r="B12" s="262">
        <v>44748</v>
      </c>
      <c r="C12" s="209">
        <v>45729</v>
      </c>
      <c r="D12" s="273" t="s">
        <v>224</v>
      </c>
      <c r="E12" s="264">
        <v>11.5</v>
      </c>
      <c r="F12" s="264">
        <v>0.86</v>
      </c>
      <c r="G12" s="267">
        <f t="shared" si="0"/>
        <v>15.548945375878855</v>
      </c>
      <c r="H12" s="276" t="s">
        <v>274</v>
      </c>
      <c r="I12" s="126" t="s">
        <v>273</v>
      </c>
      <c r="J12" s="126" t="s">
        <v>276</v>
      </c>
      <c r="K12" s="99" t="s">
        <v>290</v>
      </c>
      <c r="L12" s="28"/>
      <c r="M12" s="9"/>
      <c r="N12" s="9"/>
      <c r="O12" s="9"/>
      <c r="P12" s="45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265" t="s">
        <v>20</v>
      </c>
      <c r="B13" s="261">
        <v>44974</v>
      </c>
      <c r="C13" s="209">
        <v>45729</v>
      </c>
      <c r="D13" s="273" t="s">
        <v>229</v>
      </c>
      <c r="E13" s="264">
        <v>10.4</v>
      </c>
      <c r="F13" s="264">
        <v>0.84</v>
      </c>
      <c r="G13" s="267">
        <f t="shared" si="0"/>
        <v>14.739229024943313</v>
      </c>
      <c r="H13" s="276" t="s">
        <v>273</v>
      </c>
      <c r="I13" s="126" t="s">
        <v>273</v>
      </c>
      <c r="J13" s="126" t="s">
        <v>272</v>
      </c>
      <c r="K13" s="99" t="s">
        <v>290</v>
      </c>
      <c r="L13" s="28"/>
      <c r="M13" s="9"/>
      <c r="N13" s="9"/>
      <c r="O13" s="9"/>
      <c r="P13" s="45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272" t="s">
        <v>146</v>
      </c>
      <c r="B14" s="262">
        <v>44803</v>
      </c>
      <c r="C14" s="209">
        <v>45729</v>
      </c>
      <c r="D14" s="273" t="s">
        <v>225</v>
      </c>
      <c r="E14" s="274">
        <v>13.4</v>
      </c>
      <c r="F14" s="274">
        <v>0.91</v>
      </c>
      <c r="G14" s="275">
        <f t="shared" ref="G14" si="1">E14/(F14*F14)</f>
        <v>16.181620577224972</v>
      </c>
      <c r="H14" s="276" t="s">
        <v>275</v>
      </c>
      <c r="I14" s="126" t="s">
        <v>275</v>
      </c>
      <c r="J14" s="126" t="s">
        <v>274</v>
      </c>
      <c r="K14" s="99" t="s">
        <v>290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52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A1:J1"/>
  </mergeCells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5496"/>
  </sheetPr>
  <dimension ref="A1:M1000"/>
  <sheetViews>
    <sheetView showGridLines="0" topLeftCell="A16" workbookViewId="0">
      <selection activeCell="H33" sqref="H33:M39"/>
    </sheetView>
  </sheetViews>
  <sheetFormatPr defaultColWidth="14.44140625" defaultRowHeight="15" customHeight="1"/>
  <cols>
    <col min="1" max="1" width="11.33203125" customWidth="1"/>
    <col min="2" max="2" width="13" customWidth="1"/>
    <col min="3" max="3" width="9.33203125" customWidth="1"/>
    <col min="4" max="4" width="6.5546875" customWidth="1"/>
    <col min="5" max="5" width="5.33203125" customWidth="1"/>
    <col min="6" max="6" width="15.44140625" customWidth="1"/>
    <col min="7" max="7" width="3.44140625" customWidth="1"/>
    <col min="8" max="8" width="11.33203125" customWidth="1"/>
    <col min="9" max="9" width="13" customWidth="1"/>
    <col min="10" max="10" width="10.6640625" customWidth="1"/>
    <col min="11" max="11" width="8.6640625" customWidth="1"/>
    <col min="12" max="12" width="4.88671875" customWidth="1"/>
    <col min="13" max="13" width="10.77734375" bestFit="1" customWidth="1"/>
    <col min="14" max="26" width="8.6640625" customWidth="1"/>
  </cols>
  <sheetData>
    <row r="1" spans="1:13" ht="14.25" customHeight="1">
      <c r="A1" s="13" t="s">
        <v>21</v>
      </c>
      <c r="B1" s="487" t="str">
        <f>'Mini Maternal A'!A4</f>
        <v>Alice Del Cistia Magalhães</v>
      </c>
      <c r="C1" s="485"/>
      <c r="D1" s="486"/>
      <c r="E1" s="14" t="s">
        <v>22</v>
      </c>
      <c r="F1" s="15">
        <f>'Mini Maternal A'!B4</f>
        <v>44708</v>
      </c>
      <c r="H1" s="13" t="s">
        <v>21</v>
      </c>
      <c r="I1" s="487" t="str">
        <f>'Mini Maternal A'!A9</f>
        <v>Lucas Barbosa Perez</v>
      </c>
      <c r="J1" s="485"/>
      <c r="K1" s="486"/>
      <c r="L1" s="14" t="s">
        <v>22</v>
      </c>
      <c r="M1" s="15">
        <f>'Mini Maternal A'!B9</f>
        <v>44842</v>
      </c>
    </row>
    <row r="2" spans="1:13" ht="14.25" customHeight="1">
      <c r="A2" s="466" t="s">
        <v>23</v>
      </c>
      <c r="B2" s="467"/>
      <c r="C2" s="467"/>
      <c r="D2" s="467"/>
      <c r="E2" s="467"/>
      <c r="F2" s="468"/>
      <c r="H2" s="466" t="s">
        <v>23</v>
      </c>
      <c r="I2" s="467"/>
      <c r="J2" s="467"/>
      <c r="K2" s="467"/>
      <c r="L2" s="467"/>
      <c r="M2" s="468"/>
    </row>
    <row r="3" spans="1:13" ht="14.25" customHeight="1">
      <c r="A3" s="16" t="s">
        <v>24</v>
      </c>
      <c r="B3" s="17">
        <f>'Mini Maternal A'!C4</f>
        <v>45729</v>
      </c>
      <c r="C3" s="18" t="s">
        <v>25</v>
      </c>
      <c r="D3" s="469" t="s">
        <v>33</v>
      </c>
      <c r="E3" s="470"/>
      <c r="F3" s="19" t="str">
        <f>'Mini Maternal A'!D4</f>
        <v>2a 9m</v>
      </c>
      <c r="H3" s="16" t="s">
        <v>24</v>
      </c>
      <c r="I3" s="17">
        <f>'Mini Maternal A'!C9</f>
        <v>45729</v>
      </c>
      <c r="J3" s="18" t="s">
        <v>25</v>
      </c>
      <c r="K3" s="469" t="s">
        <v>26</v>
      </c>
      <c r="L3" s="470"/>
      <c r="M3" s="19" t="str">
        <f>'Mini Maternal A'!D9</f>
        <v>2a 5m</v>
      </c>
    </row>
    <row r="4" spans="1:13" ht="14.25" customHeight="1">
      <c r="A4" s="20" t="s">
        <v>3</v>
      </c>
      <c r="B4" s="23">
        <f>'Mini Maternal A'!E4</f>
        <v>12.2</v>
      </c>
      <c r="C4" s="26">
        <f>'Mini Maternal A'!I4</f>
        <v>25</v>
      </c>
      <c r="D4" s="483"/>
      <c r="E4" s="472"/>
      <c r="F4" s="473"/>
      <c r="H4" s="20" t="s">
        <v>3</v>
      </c>
      <c r="I4" s="23">
        <f>'Mini Maternal A'!E9</f>
        <v>12.1</v>
      </c>
      <c r="J4" s="26">
        <f>'Mini Maternal A'!I9</f>
        <v>25</v>
      </c>
      <c r="K4" s="483"/>
      <c r="L4" s="472"/>
      <c r="M4" s="473"/>
    </row>
    <row r="5" spans="1:13" ht="14.25" customHeight="1">
      <c r="A5" s="20" t="s">
        <v>27</v>
      </c>
      <c r="B5" s="21">
        <f>'Mini Maternal A'!F4</f>
        <v>0.91</v>
      </c>
      <c r="C5" s="26" t="str">
        <f>'Mini Maternal A'!J4</f>
        <v>25-50</v>
      </c>
      <c r="D5" s="474"/>
      <c r="E5" s="475"/>
      <c r="F5" s="476"/>
      <c r="H5" s="20" t="s">
        <v>27</v>
      </c>
      <c r="I5" s="23">
        <f>'Mini Maternal A'!F9</f>
        <v>0.92</v>
      </c>
      <c r="J5" s="26" t="str">
        <f>'Mini Maternal A'!J9</f>
        <v>50-75</v>
      </c>
      <c r="K5" s="474"/>
      <c r="L5" s="475"/>
      <c r="M5" s="476"/>
    </row>
    <row r="6" spans="1:13" ht="14.25" customHeight="1">
      <c r="A6" s="20" t="s">
        <v>68</v>
      </c>
      <c r="B6" s="25">
        <f>'Mini Maternal A'!G4</f>
        <v>14.73252022702572</v>
      </c>
      <c r="C6" s="26" t="str">
        <f>'Mini Maternal A'!H4</f>
        <v>25-50</v>
      </c>
      <c r="D6" s="477"/>
      <c r="E6" s="478"/>
      <c r="F6" s="479"/>
      <c r="H6" s="20" t="s">
        <v>69</v>
      </c>
      <c r="I6" s="21">
        <f>'Mini Maternal A'!G9</f>
        <v>14.295841209829867</v>
      </c>
      <c r="J6" s="26" t="str">
        <f>'Mini Maternal A'!H9</f>
        <v>5-15.</v>
      </c>
      <c r="K6" s="477"/>
      <c r="L6" s="478"/>
      <c r="M6" s="479"/>
    </row>
    <row r="7" spans="1:13" ht="14.25" customHeight="1">
      <c r="A7" s="24" t="s">
        <v>30</v>
      </c>
      <c r="B7" s="480" t="str">
        <f>'Mini Maternal A'!K4</f>
        <v>ADEQUADO</v>
      </c>
      <c r="C7" s="481"/>
      <c r="D7" s="481"/>
      <c r="E7" s="481"/>
      <c r="F7" s="482"/>
      <c r="H7" s="24" t="s">
        <v>30</v>
      </c>
      <c r="I7" s="480" t="str">
        <f>'Mini Maternal A'!K9</f>
        <v>ADEQUADO</v>
      </c>
      <c r="J7" s="481"/>
      <c r="K7" s="481"/>
      <c r="L7" s="481"/>
      <c r="M7" s="482"/>
    </row>
    <row r="8" spans="1:13" ht="7.5" customHeight="1"/>
    <row r="9" spans="1:13" ht="14.25" customHeight="1">
      <c r="A9" s="13" t="s">
        <v>21</v>
      </c>
      <c r="B9" s="487" t="str">
        <f>'Mini Maternal A'!A5</f>
        <v>Beatriz B. Foster de Oliveira</v>
      </c>
      <c r="C9" s="485"/>
      <c r="D9" s="486"/>
      <c r="E9" s="14" t="s">
        <v>22</v>
      </c>
      <c r="F9" s="15">
        <f>'Mini Maternal A'!B5</f>
        <v>44716</v>
      </c>
      <c r="H9" s="13" t="s">
        <v>21</v>
      </c>
      <c r="I9" s="487" t="str">
        <f>'Mini Maternal A'!A10</f>
        <v>Manuela M. M. S. G. da Costa</v>
      </c>
      <c r="J9" s="485"/>
      <c r="K9" s="486"/>
      <c r="L9" s="14" t="s">
        <v>22</v>
      </c>
      <c r="M9" s="15">
        <f>'Mini Maternal A'!B10</f>
        <v>44922</v>
      </c>
    </row>
    <row r="10" spans="1:13" ht="14.25" customHeight="1">
      <c r="A10" s="466" t="s">
        <v>23</v>
      </c>
      <c r="B10" s="467"/>
      <c r="C10" s="467"/>
      <c r="D10" s="467"/>
      <c r="E10" s="467"/>
      <c r="F10" s="468"/>
      <c r="H10" s="466" t="s">
        <v>23</v>
      </c>
      <c r="I10" s="467"/>
      <c r="J10" s="467"/>
      <c r="K10" s="467"/>
      <c r="L10" s="467"/>
      <c r="M10" s="468"/>
    </row>
    <row r="11" spans="1:13" ht="14.25" customHeight="1">
      <c r="A11" s="16" t="s">
        <v>24</v>
      </c>
      <c r="B11" s="17">
        <f>'Mini Maternal A'!C5</f>
        <v>45729</v>
      </c>
      <c r="C11" s="18" t="s">
        <v>25</v>
      </c>
      <c r="D11" s="469" t="s">
        <v>33</v>
      </c>
      <c r="E11" s="470"/>
      <c r="F11" s="19" t="str">
        <f>'Mini Maternal A'!D5</f>
        <v>2a 9m</v>
      </c>
      <c r="H11" s="16" t="s">
        <v>24</v>
      </c>
      <c r="I11" s="17">
        <f>'Mini Maternal A'!C10</f>
        <v>45729</v>
      </c>
      <c r="J11" s="18" t="s">
        <v>25</v>
      </c>
      <c r="K11" s="469" t="s">
        <v>26</v>
      </c>
      <c r="L11" s="470"/>
      <c r="M11" s="19" t="str">
        <f>'Mini Maternal A'!D10</f>
        <v>2a 2m</v>
      </c>
    </row>
    <row r="12" spans="1:13" ht="14.25" customHeight="1">
      <c r="A12" s="20" t="s">
        <v>3</v>
      </c>
      <c r="B12" s="23">
        <f>'Mini Maternal A'!E5</f>
        <v>10.9</v>
      </c>
      <c r="C12" s="26" t="str">
        <f>'Mini Maternal A'!I5</f>
        <v>5-15.</v>
      </c>
      <c r="D12" s="483"/>
      <c r="E12" s="472"/>
      <c r="F12" s="473"/>
      <c r="H12" s="20" t="s">
        <v>3</v>
      </c>
      <c r="I12" s="23">
        <f>'Mini Maternal A'!E10</f>
        <v>12.2</v>
      </c>
      <c r="J12" s="26" t="str">
        <f>'Mini Maternal A'!I10</f>
        <v>50-75</v>
      </c>
      <c r="K12" s="483"/>
      <c r="L12" s="472"/>
      <c r="M12" s="473"/>
    </row>
    <row r="13" spans="1:13" ht="14.25" customHeight="1">
      <c r="A13" s="20" t="s">
        <v>27</v>
      </c>
      <c r="B13" s="21">
        <f>'Mini Maternal A'!F5</f>
        <v>0.86</v>
      </c>
      <c r="C13" s="26">
        <f>'Mini Maternal A'!J5</f>
        <v>3</v>
      </c>
      <c r="D13" s="474"/>
      <c r="E13" s="475"/>
      <c r="F13" s="476"/>
      <c r="H13" s="20" t="s">
        <v>27</v>
      </c>
      <c r="I13" s="23">
        <f>'Mini Maternal A'!F10</f>
        <v>0.85</v>
      </c>
      <c r="J13" s="26" t="str">
        <f>'Mini Maternal A'!J10</f>
        <v>15-25</v>
      </c>
      <c r="K13" s="474"/>
      <c r="L13" s="475"/>
      <c r="M13" s="476"/>
    </row>
    <row r="14" spans="1:13" ht="14.25" customHeight="1">
      <c r="A14" s="20" t="s">
        <v>28</v>
      </c>
      <c r="B14" s="25">
        <f>'Mini Maternal A'!G5</f>
        <v>14.73769605191996</v>
      </c>
      <c r="C14" s="26" t="str">
        <f>'Mini Maternal A'!H5</f>
        <v>25-50</v>
      </c>
      <c r="D14" s="477"/>
      <c r="E14" s="478"/>
      <c r="F14" s="479"/>
      <c r="H14" s="20" t="s">
        <v>28</v>
      </c>
      <c r="I14" s="21">
        <f>'Mini Maternal A'!G10</f>
        <v>16.885813148788927</v>
      </c>
      <c r="J14" s="26" t="str">
        <f>'Mini Maternal A'!H10</f>
        <v>75-85</v>
      </c>
      <c r="K14" s="477"/>
      <c r="L14" s="478"/>
      <c r="M14" s="479"/>
    </row>
    <row r="15" spans="1:13" ht="14.25" customHeight="1">
      <c r="A15" s="24" t="s">
        <v>30</v>
      </c>
      <c r="B15" s="480" t="str">
        <f>'Mini Maternal A'!K5</f>
        <v>ADEQUADO</v>
      </c>
      <c r="C15" s="481"/>
      <c r="D15" s="481"/>
      <c r="E15" s="481"/>
      <c r="F15" s="482"/>
      <c r="H15" s="24" t="s">
        <v>30</v>
      </c>
      <c r="I15" s="480" t="str">
        <f>'Mini Maternal A'!K10</f>
        <v>ADEQUADO</v>
      </c>
      <c r="J15" s="481"/>
      <c r="K15" s="481"/>
      <c r="L15" s="481"/>
      <c r="M15" s="482"/>
    </row>
    <row r="16" spans="1:13" ht="6" customHeight="1"/>
    <row r="17" spans="1:13" ht="14.25" customHeight="1">
      <c r="A17" s="13" t="s">
        <v>21</v>
      </c>
      <c r="B17" s="487" t="str">
        <f>'Mini Maternal A'!A6</f>
        <v>Clara Arjonilla Porazenka</v>
      </c>
      <c r="C17" s="485"/>
      <c r="D17" s="486"/>
      <c r="E17" s="14" t="s">
        <v>22</v>
      </c>
      <c r="F17" s="15">
        <f>'Mini Maternal A'!B6</f>
        <v>44744</v>
      </c>
      <c r="H17" s="13" t="s">
        <v>21</v>
      </c>
      <c r="I17" s="487" t="str">
        <f>'Mini Maternal A'!A11</f>
        <v>Olívia Pereira Menezes</v>
      </c>
      <c r="J17" s="485"/>
      <c r="K17" s="486"/>
      <c r="L17" s="14" t="s">
        <v>22</v>
      </c>
      <c r="M17" s="15">
        <f>'Mini Maternal A'!B11</f>
        <v>44989</v>
      </c>
    </row>
    <row r="18" spans="1:13" ht="14.25" customHeight="1">
      <c r="A18" s="466" t="s">
        <v>23</v>
      </c>
      <c r="B18" s="467"/>
      <c r="C18" s="467"/>
      <c r="D18" s="467"/>
      <c r="E18" s="467"/>
      <c r="F18" s="468"/>
      <c r="H18" s="466" t="s">
        <v>23</v>
      </c>
      <c r="I18" s="467"/>
      <c r="J18" s="467"/>
      <c r="K18" s="467"/>
      <c r="L18" s="467"/>
      <c r="M18" s="468"/>
    </row>
    <row r="19" spans="1:13" ht="14.25" customHeight="1">
      <c r="A19" s="16" t="s">
        <v>24</v>
      </c>
      <c r="B19" s="17">
        <f>'Mini Maternal A'!C6</f>
        <v>45729</v>
      </c>
      <c r="C19" s="18" t="s">
        <v>25</v>
      </c>
      <c r="D19" s="469" t="s">
        <v>33</v>
      </c>
      <c r="E19" s="470"/>
      <c r="F19" s="19" t="str">
        <f>'Mini Maternal A'!D6</f>
        <v>2a 8m</v>
      </c>
      <c r="H19" s="16" t="s">
        <v>24</v>
      </c>
      <c r="I19" s="17">
        <f>'Mini Maternal A'!C11</f>
        <v>45729</v>
      </c>
      <c r="J19" s="18" t="s">
        <v>25</v>
      </c>
      <c r="K19" s="469" t="s">
        <v>26</v>
      </c>
      <c r="L19" s="470"/>
      <c r="M19" s="19" t="str">
        <f>'Mini Maternal A'!D11</f>
        <v xml:space="preserve">2a </v>
      </c>
    </row>
    <row r="20" spans="1:13" ht="14.25" customHeight="1">
      <c r="A20" s="20" t="s">
        <v>3</v>
      </c>
      <c r="B20" s="23">
        <f>'Mini Maternal A'!E6</f>
        <v>14.1</v>
      </c>
      <c r="C20" s="26" t="str">
        <f>'Mini Maternal A'!I6</f>
        <v>50-75</v>
      </c>
      <c r="D20" s="483"/>
      <c r="E20" s="472"/>
      <c r="F20" s="473"/>
      <c r="H20" s="20" t="s">
        <v>3</v>
      </c>
      <c r="I20" s="23">
        <f>'Mini Maternal A'!E11</f>
        <v>10.4</v>
      </c>
      <c r="J20" s="26" t="str">
        <f>'Mini Maternal A'!I11</f>
        <v>15-25</v>
      </c>
      <c r="K20" s="483"/>
      <c r="L20" s="472"/>
      <c r="M20" s="473"/>
    </row>
    <row r="21" spans="1:13" ht="14.25" customHeight="1">
      <c r="A21" s="20" t="s">
        <v>27</v>
      </c>
      <c r="B21" s="21">
        <f>'Mini Maternal A'!F6</f>
        <v>0.91</v>
      </c>
      <c r="C21" s="26" t="str">
        <f>'Mini Maternal A'!J6</f>
        <v>25-50</v>
      </c>
      <c r="D21" s="474"/>
      <c r="E21" s="475"/>
      <c r="F21" s="476"/>
      <c r="H21" s="20" t="s">
        <v>27</v>
      </c>
      <c r="I21" s="21">
        <f>'Mini Maternal A'!F11</f>
        <v>0.82</v>
      </c>
      <c r="J21" s="26" t="str">
        <f>'Mini Maternal A'!J11</f>
        <v>5-15.</v>
      </c>
      <c r="K21" s="474"/>
      <c r="L21" s="475"/>
      <c r="M21" s="476"/>
    </row>
    <row r="22" spans="1:13" ht="14.25" customHeight="1">
      <c r="A22" s="20" t="s">
        <v>28</v>
      </c>
      <c r="B22" s="25">
        <f>'Mini Maternal A'!G6</f>
        <v>17.026929114841202</v>
      </c>
      <c r="C22" s="26" t="str">
        <f>'Mini Maternal A'!H6</f>
        <v>85-95</v>
      </c>
      <c r="D22" s="477"/>
      <c r="E22" s="478"/>
      <c r="F22" s="479"/>
      <c r="H22" s="20" t="s">
        <v>28</v>
      </c>
      <c r="I22" s="21">
        <f>'Mini Maternal A'!G11</f>
        <v>15.466983938132067</v>
      </c>
      <c r="J22" s="26" t="str">
        <f>'Mini Maternal A'!H11</f>
        <v>25-50</v>
      </c>
      <c r="K22" s="477"/>
      <c r="L22" s="478"/>
      <c r="M22" s="479"/>
    </row>
    <row r="23" spans="1:13" ht="14.25" customHeight="1">
      <c r="A23" s="24" t="s">
        <v>30</v>
      </c>
      <c r="B23" s="480" t="str">
        <f>'Mini Maternal A'!K6</f>
        <v>SOBREPESO</v>
      </c>
      <c r="C23" s="481"/>
      <c r="D23" s="481"/>
      <c r="E23" s="481"/>
      <c r="F23" s="482"/>
      <c r="H23" s="24" t="s">
        <v>30</v>
      </c>
      <c r="I23" s="480" t="str">
        <f>'Mini Maternal A'!K11</f>
        <v>ADEQUADO</v>
      </c>
      <c r="J23" s="481"/>
      <c r="K23" s="481"/>
      <c r="L23" s="481"/>
      <c r="M23" s="482"/>
    </row>
    <row r="24" spans="1:13" ht="8.25" customHeight="1"/>
    <row r="25" spans="1:13" ht="14.25" customHeight="1">
      <c r="A25" s="13" t="s">
        <v>21</v>
      </c>
      <c r="B25" s="487" t="str">
        <f>'Mini Maternal A'!A7</f>
        <v>Eli Zaroni Vieira</v>
      </c>
      <c r="C25" s="485"/>
      <c r="D25" s="486"/>
      <c r="E25" s="14" t="s">
        <v>22</v>
      </c>
      <c r="F25" s="15">
        <f>'Mini Maternal A'!B7</f>
        <v>44817</v>
      </c>
      <c r="H25" s="13" t="s">
        <v>21</v>
      </c>
      <c r="I25" s="487" t="str">
        <f>'Mini Maternal A'!A12</f>
        <v>Pedro Rodrigues Gomes</v>
      </c>
      <c r="J25" s="485"/>
      <c r="K25" s="486"/>
      <c r="L25" s="14" t="s">
        <v>22</v>
      </c>
      <c r="M25" s="15">
        <f>'Mini Maternal A'!B12</f>
        <v>44748</v>
      </c>
    </row>
    <row r="26" spans="1:13" ht="14.25" customHeight="1">
      <c r="A26" s="466" t="s">
        <v>23</v>
      </c>
      <c r="B26" s="467"/>
      <c r="C26" s="467"/>
      <c r="D26" s="467"/>
      <c r="E26" s="467"/>
      <c r="F26" s="468"/>
      <c r="H26" s="466" t="s">
        <v>23</v>
      </c>
      <c r="I26" s="467"/>
      <c r="J26" s="467"/>
      <c r="K26" s="467"/>
      <c r="L26" s="467"/>
      <c r="M26" s="468"/>
    </row>
    <row r="27" spans="1:13" ht="14.25" customHeight="1">
      <c r="A27" s="16" t="s">
        <v>24</v>
      </c>
      <c r="B27" s="17">
        <f>'Mini Maternal A'!C7</f>
        <v>45729</v>
      </c>
      <c r="C27" s="18" t="s">
        <v>25</v>
      </c>
      <c r="D27" s="469" t="s">
        <v>33</v>
      </c>
      <c r="E27" s="470"/>
      <c r="F27" s="19" t="str">
        <f>'Mini Maternal A'!D7</f>
        <v>2a 6m</v>
      </c>
      <c r="H27" s="16" t="s">
        <v>24</v>
      </c>
      <c r="I27" s="17">
        <f>'Mini Maternal A'!C12</f>
        <v>45729</v>
      </c>
      <c r="J27" s="18" t="s">
        <v>25</v>
      </c>
      <c r="K27" s="469" t="s">
        <v>26</v>
      </c>
      <c r="L27" s="470"/>
      <c r="M27" s="19" t="str">
        <f>'Mini Maternal A'!D12</f>
        <v>2a 8m</v>
      </c>
    </row>
    <row r="28" spans="1:13" ht="14.25" customHeight="1">
      <c r="A28" s="20" t="s">
        <v>3</v>
      </c>
      <c r="B28" s="23">
        <f>'Mini Maternal A'!E7</f>
        <v>16.8</v>
      </c>
      <c r="C28" s="26" t="str">
        <f>'Mini Maternal A'!I7</f>
        <v>97-99</v>
      </c>
      <c r="D28" s="483"/>
      <c r="E28" s="472"/>
      <c r="F28" s="473"/>
      <c r="H28" s="20" t="s">
        <v>3</v>
      </c>
      <c r="I28" s="23">
        <f>'Mini Maternal A'!E12</f>
        <v>11.5</v>
      </c>
      <c r="J28" s="26" t="str">
        <f>'Mini Maternal A'!I12</f>
        <v>5-15.</v>
      </c>
      <c r="K28" s="483"/>
      <c r="L28" s="472"/>
      <c r="M28" s="473"/>
    </row>
    <row r="29" spans="1:13" ht="14.25" customHeight="1">
      <c r="A29" s="20" t="s">
        <v>27</v>
      </c>
      <c r="B29" s="21">
        <f>'Mini Maternal A'!F7</f>
        <v>0.94</v>
      </c>
      <c r="C29" s="26" t="str">
        <f>'Mini Maternal A'!J7</f>
        <v>50-75</v>
      </c>
      <c r="D29" s="474"/>
      <c r="E29" s="475"/>
      <c r="F29" s="476"/>
      <c r="H29" s="20" t="s">
        <v>27</v>
      </c>
      <c r="I29" s="21">
        <f>'Mini Maternal A'!F12</f>
        <v>0.86</v>
      </c>
      <c r="J29" s="26" t="str">
        <f>'Mini Maternal A'!J12</f>
        <v>1-3.</v>
      </c>
      <c r="K29" s="474"/>
      <c r="L29" s="475"/>
      <c r="M29" s="476"/>
    </row>
    <row r="30" spans="1:13" ht="14.25" customHeight="1">
      <c r="A30" s="20" t="s">
        <v>28</v>
      </c>
      <c r="B30" s="25">
        <f>'Mini Maternal A'!G7</f>
        <v>19.013128112267996</v>
      </c>
      <c r="C30" s="26" t="str">
        <f>'Mini Maternal A'!H7</f>
        <v>97-99</v>
      </c>
      <c r="D30" s="477"/>
      <c r="E30" s="478"/>
      <c r="F30" s="479"/>
      <c r="H30" s="20" t="s">
        <v>28</v>
      </c>
      <c r="I30" s="21">
        <f>'Mini Maternal A'!G12</f>
        <v>15.548945375878855</v>
      </c>
      <c r="J30" s="26" t="str">
        <f>'Mini Maternal A'!H12</f>
        <v>25-50</v>
      </c>
      <c r="K30" s="477"/>
      <c r="L30" s="478"/>
      <c r="M30" s="479"/>
    </row>
    <row r="31" spans="1:13" ht="14.25" customHeight="1">
      <c r="A31" s="24" t="s">
        <v>30</v>
      </c>
      <c r="B31" s="480" t="str">
        <f>'Mini Maternal A'!K7</f>
        <v>OBESIDADE</v>
      </c>
      <c r="C31" s="481"/>
      <c r="D31" s="481"/>
      <c r="E31" s="481"/>
      <c r="F31" s="482"/>
      <c r="H31" s="24" t="s">
        <v>30</v>
      </c>
      <c r="I31" s="480" t="str">
        <f>'Mini Maternal A'!K12</f>
        <v>ADEQUADO</v>
      </c>
      <c r="J31" s="481"/>
      <c r="K31" s="481"/>
      <c r="L31" s="481"/>
      <c r="M31" s="482"/>
    </row>
    <row r="32" spans="1:13" ht="14.25" customHeight="1"/>
    <row r="33" spans="1:13" ht="14.25" customHeight="1">
      <c r="A33" s="13" t="s">
        <v>21</v>
      </c>
      <c r="B33" s="487" t="str">
        <f>'Mini Maternal A'!A8</f>
        <v>Isabela Buzzini Casa Vechia</v>
      </c>
      <c r="C33" s="485"/>
      <c r="D33" s="486"/>
      <c r="E33" s="14" t="s">
        <v>22</v>
      </c>
      <c r="F33" s="15" t="str">
        <f>'Mini Maternal A'!B8</f>
        <v xml:space="preserve"> 19/07/2022</v>
      </c>
      <c r="H33" s="13" t="s">
        <v>21</v>
      </c>
      <c r="I33" s="487" t="str">
        <f>'Mini Maternal A'!A13</f>
        <v>Téo Formaggio Pereira</v>
      </c>
      <c r="J33" s="485"/>
      <c r="K33" s="486"/>
      <c r="L33" s="14" t="s">
        <v>22</v>
      </c>
      <c r="M33" s="15">
        <f>'Mini Maternal A'!B13</f>
        <v>44974</v>
      </c>
    </row>
    <row r="34" spans="1:13" ht="14.25" customHeight="1">
      <c r="A34" s="466" t="s">
        <v>23</v>
      </c>
      <c r="B34" s="467"/>
      <c r="C34" s="467"/>
      <c r="D34" s="467"/>
      <c r="E34" s="467"/>
      <c r="F34" s="468"/>
      <c r="H34" s="466" t="s">
        <v>23</v>
      </c>
      <c r="I34" s="467"/>
      <c r="J34" s="467"/>
      <c r="K34" s="467"/>
      <c r="L34" s="467"/>
      <c r="M34" s="468"/>
    </row>
    <row r="35" spans="1:13" ht="14.25" customHeight="1">
      <c r="A35" s="16" t="s">
        <v>24</v>
      </c>
      <c r="B35" s="17">
        <f>'Mini Maternal A'!C8</f>
        <v>45729</v>
      </c>
      <c r="C35" s="18" t="s">
        <v>25</v>
      </c>
      <c r="D35" s="469" t="s">
        <v>33</v>
      </c>
      <c r="E35" s="470"/>
      <c r="F35" s="19" t="str">
        <f>'Mini Maternal A'!D8</f>
        <v>2a 7m</v>
      </c>
      <c r="H35" s="16" t="s">
        <v>24</v>
      </c>
      <c r="I35" s="17">
        <f>'Mini Maternal A'!C13</f>
        <v>45729</v>
      </c>
      <c r="J35" s="18" t="s">
        <v>25</v>
      </c>
      <c r="K35" s="469" t="s">
        <v>26</v>
      </c>
      <c r="L35" s="470"/>
      <c r="M35" s="19" t="str">
        <f>'Mini Maternal A'!D13</f>
        <v xml:space="preserve">2a </v>
      </c>
    </row>
    <row r="36" spans="1:13" ht="14.25" customHeight="1">
      <c r="A36" s="20" t="s">
        <v>3</v>
      </c>
      <c r="B36" s="23">
        <f>'Mini Maternal A'!E8</f>
        <v>14.9</v>
      </c>
      <c r="C36" s="26" t="str">
        <f>'Mini Maternal A'!I8</f>
        <v>85-95</v>
      </c>
      <c r="D36" s="483"/>
      <c r="E36" s="472"/>
      <c r="F36" s="473"/>
      <c r="H36" s="20" t="s">
        <v>3</v>
      </c>
      <c r="I36" s="23">
        <f>'Mini Maternal A'!E13</f>
        <v>10.4</v>
      </c>
      <c r="J36" s="26" t="str">
        <f>'Mini Maternal A'!I13</f>
        <v>5-15.</v>
      </c>
      <c r="K36" s="483"/>
      <c r="L36" s="472"/>
      <c r="M36" s="473"/>
    </row>
    <row r="37" spans="1:13" ht="14.25" customHeight="1">
      <c r="A37" s="20" t="s">
        <v>27</v>
      </c>
      <c r="B37" s="21">
        <f>'Mini Maternal A'!F8</f>
        <v>0.92</v>
      </c>
      <c r="C37" s="26" t="str">
        <f>'Mini Maternal A'!J8</f>
        <v>50-75</v>
      </c>
      <c r="D37" s="474"/>
      <c r="E37" s="475"/>
      <c r="F37" s="476"/>
      <c r="H37" s="20" t="s">
        <v>27</v>
      </c>
      <c r="I37" s="21">
        <f>'Mini Maternal A'!F13</f>
        <v>0.84</v>
      </c>
      <c r="J37" s="26" t="str">
        <f>'Mini Maternal A'!J13</f>
        <v>15-25</v>
      </c>
      <c r="K37" s="474"/>
      <c r="L37" s="475"/>
      <c r="M37" s="476"/>
    </row>
    <row r="38" spans="1:13" ht="14.25" customHeight="1">
      <c r="A38" s="20" t="s">
        <v>28</v>
      </c>
      <c r="B38" s="25">
        <f>'Mini Maternal A'!G8</f>
        <v>17.603969754253306</v>
      </c>
      <c r="C38" s="26" t="str">
        <f>'Mini Maternal A'!H8</f>
        <v>85-95</v>
      </c>
      <c r="D38" s="477"/>
      <c r="E38" s="478"/>
      <c r="F38" s="479"/>
      <c r="H38" s="20" t="s">
        <v>28</v>
      </c>
      <c r="I38" s="21">
        <f>'Mini Maternal A'!G13</f>
        <v>14.739229024943313</v>
      </c>
      <c r="J38" s="26" t="str">
        <f>'Mini Maternal A'!H13</f>
        <v>5-15.</v>
      </c>
      <c r="K38" s="477"/>
      <c r="L38" s="478"/>
      <c r="M38" s="479"/>
    </row>
    <row r="39" spans="1:13" ht="14.25" customHeight="1">
      <c r="A39" s="24" t="s">
        <v>30</v>
      </c>
      <c r="B39" s="480" t="str">
        <f>'Mini Maternal A'!K8</f>
        <v>SOBREPESO</v>
      </c>
      <c r="C39" s="481"/>
      <c r="D39" s="481"/>
      <c r="E39" s="481"/>
      <c r="F39" s="482"/>
      <c r="H39" s="24" t="s">
        <v>30</v>
      </c>
      <c r="I39" s="480" t="str">
        <f>'Mini Maternal A'!K13</f>
        <v>ADEQUADO</v>
      </c>
      <c r="J39" s="481"/>
      <c r="K39" s="481"/>
      <c r="L39" s="481"/>
      <c r="M39" s="482"/>
    </row>
    <row r="40" spans="1:13" ht="14.25" customHeight="1"/>
    <row r="41" spans="1:13" ht="14.25" customHeight="1"/>
    <row r="42" spans="1:13" ht="14.25" customHeight="1"/>
    <row r="43" spans="1:13" ht="14.25" customHeight="1"/>
    <row r="44" spans="1:13" ht="14.25" customHeight="1"/>
    <row r="45" spans="1:13" ht="14.25" customHeight="1"/>
    <row r="46" spans="1:13" ht="14.25" customHeight="1"/>
    <row r="47" spans="1:13" ht="14.25" customHeight="1"/>
    <row r="48" spans="1:1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0">
    <mergeCell ref="B1:D1"/>
    <mergeCell ref="I1:K1"/>
    <mergeCell ref="A2:F2"/>
    <mergeCell ref="H2:M2"/>
    <mergeCell ref="D3:E3"/>
    <mergeCell ref="K3:L3"/>
    <mergeCell ref="K4:M6"/>
    <mergeCell ref="D4:F6"/>
    <mergeCell ref="B7:F7"/>
    <mergeCell ref="B9:D9"/>
    <mergeCell ref="A10:F10"/>
    <mergeCell ref="D11:E11"/>
    <mergeCell ref="D12:F14"/>
    <mergeCell ref="B15:F15"/>
    <mergeCell ref="I7:M7"/>
    <mergeCell ref="I9:K9"/>
    <mergeCell ref="H10:M10"/>
    <mergeCell ref="K11:L11"/>
    <mergeCell ref="K12:M14"/>
    <mergeCell ref="I15:M15"/>
    <mergeCell ref="I17:K17"/>
    <mergeCell ref="D27:E27"/>
    <mergeCell ref="D28:F30"/>
    <mergeCell ref="B31:F31"/>
    <mergeCell ref="B33:D33"/>
    <mergeCell ref="K28:M30"/>
    <mergeCell ref="I31:M31"/>
    <mergeCell ref="I33:K33"/>
    <mergeCell ref="A34:F34"/>
    <mergeCell ref="D35:E35"/>
    <mergeCell ref="D36:F38"/>
    <mergeCell ref="B39:F39"/>
    <mergeCell ref="B17:D17"/>
    <mergeCell ref="A18:F18"/>
    <mergeCell ref="D19:E19"/>
    <mergeCell ref="D20:F22"/>
    <mergeCell ref="B23:F23"/>
    <mergeCell ref="B25:D25"/>
    <mergeCell ref="A26:F26"/>
    <mergeCell ref="H34:M34"/>
    <mergeCell ref="K35:L35"/>
    <mergeCell ref="K36:M38"/>
    <mergeCell ref="I39:M39"/>
    <mergeCell ref="H18:M18"/>
    <mergeCell ref="K19:L19"/>
    <mergeCell ref="K20:M22"/>
    <mergeCell ref="I23:M23"/>
    <mergeCell ref="I25:K25"/>
    <mergeCell ref="H26:M26"/>
    <mergeCell ref="K27:L27"/>
  </mergeCells>
  <pageMargins left="0.511811024" right="0.511811024" top="0.78740157499999996" bottom="0.78740157499999996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5E0B3"/>
  </sheetPr>
  <dimension ref="A1:Z999"/>
  <sheetViews>
    <sheetView workbookViewId="0">
      <selection sqref="A1:K15"/>
    </sheetView>
  </sheetViews>
  <sheetFormatPr defaultColWidth="14.44140625" defaultRowHeight="15" customHeight="1"/>
  <cols>
    <col min="1" max="1" width="34.88671875" customWidth="1"/>
    <col min="2" max="3" width="11.109375" customWidth="1"/>
    <col min="4" max="4" width="6.88671875" customWidth="1"/>
    <col min="5" max="5" width="6.33203125" customWidth="1"/>
    <col min="6" max="6" width="9.6640625" customWidth="1"/>
    <col min="7" max="7" width="8" customWidth="1"/>
    <col min="8" max="8" width="6.33203125" customWidth="1"/>
    <col min="9" max="10" width="5.6640625" customWidth="1"/>
    <col min="11" max="11" width="15.5546875" customWidth="1"/>
    <col min="12" max="12" width="3.33203125" customWidth="1"/>
    <col min="13" max="13" width="12.5546875" customWidth="1"/>
    <col min="14" max="14" width="7.33203125" customWidth="1"/>
    <col min="15" max="15" width="6.88671875" customWidth="1"/>
    <col min="16" max="26" width="9.109375" customWidth="1"/>
  </cols>
  <sheetData>
    <row r="1" spans="1:26" ht="14.25" customHeight="1">
      <c r="A1" s="489" t="s">
        <v>156</v>
      </c>
      <c r="B1" s="490"/>
      <c r="C1" s="490"/>
      <c r="D1" s="490"/>
      <c r="E1" s="490"/>
      <c r="F1" s="490"/>
      <c r="G1" s="490"/>
      <c r="H1" s="490"/>
      <c r="I1" s="490"/>
      <c r="J1" s="49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/>
      <c r="B2" s="3"/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>
      <c r="A3" s="133"/>
      <c r="B3" s="133" t="s">
        <v>0</v>
      </c>
      <c r="C3" s="133" t="s">
        <v>1</v>
      </c>
      <c r="D3" s="133" t="s">
        <v>2</v>
      </c>
      <c r="E3" s="133" t="s">
        <v>3</v>
      </c>
      <c r="F3" s="133" t="s">
        <v>4</v>
      </c>
      <c r="G3" s="133" t="s">
        <v>5</v>
      </c>
      <c r="H3" s="133" t="s">
        <v>6</v>
      </c>
      <c r="I3" s="133" t="s">
        <v>7</v>
      </c>
      <c r="J3" s="133" t="s">
        <v>8</v>
      </c>
      <c r="K3" s="133" t="s">
        <v>9</v>
      </c>
      <c r="L3" s="7"/>
      <c r="M3" s="134"/>
      <c r="N3" s="134" t="s">
        <v>10</v>
      </c>
      <c r="O3" s="134" t="s">
        <v>11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>
      <c r="A4" s="279" t="s">
        <v>182</v>
      </c>
      <c r="B4" s="293">
        <v>44968</v>
      </c>
      <c r="C4" s="296">
        <v>45729</v>
      </c>
      <c r="D4" s="283" t="s">
        <v>236</v>
      </c>
      <c r="E4" s="283">
        <v>11.3</v>
      </c>
      <c r="F4" s="283">
        <v>0.85</v>
      </c>
      <c r="G4" s="215">
        <f>E4/(F4*F4)</f>
        <v>15.640138408304502</v>
      </c>
      <c r="H4" s="233" t="s">
        <v>274</v>
      </c>
      <c r="I4" s="233" t="s">
        <v>274</v>
      </c>
      <c r="J4" s="233" t="s">
        <v>274</v>
      </c>
      <c r="K4" s="217" t="s">
        <v>290</v>
      </c>
      <c r="L4" s="1"/>
      <c r="M4" s="135" t="s">
        <v>12</v>
      </c>
      <c r="N4" s="134"/>
      <c r="O4" s="13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282" t="s">
        <v>144</v>
      </c>
      <c r="B5" s="293">
        <v>44758</v>
      </c>
      <c r="C5" s="296">
        <v>45729</v>
      </c>
      <c r="D5" s="283" t="s">
        <v>226</v>
      </c>
      <c r="E5" s="326">
        <v>14</v>
      </c>
      <c r="F5" s="283">
        <v>0.94</v>
      </c>
      <c r="G5" s="215">
        <f>E5/(F5*F5)</f>
        <v>15.844273426889997</v>
      </c>
      <c r="H5" s="233" t="s">
        <v>275</v>
      </c>
      <c r="I5" s="233" t="s">
        <v>275</v>
      </c>
      <c r="J5" s="233" t="s">
        <v>269</v>
      </c>
      <c r="K5" s="217" t="s">
        <v>290</v>
      </c>
      <c r="L5" s="1"/>
      <c r="M5" s="135" t="s">
        <v>13</v>
      </c>
      <c r="N5" s="134">
        <v>5</v>
      </c>
      <c r="O5" s="134">
        <v>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429" t="s">
        <v>183</v>
      </c>
      <c r="B6" s="430">
        <v>44845</v>
      </c>
      <c r="C6" s="431"/>
      <c r="D6" s="432"/>
      <c r="E6" s="432"/>
      <c r="F6" s="432"/>
      <c r="G6" s="433" t="e">
        <f t="shared" ref="G6:G15" si="0">E6/(F6*F6)</f>
        <v>#DIV/0!</v>
      </c>
      <c r="H6" s="434"/>
      <c r="I6" s="434"/>
      <c r="J6" s="434"/>
      <c r="K6" s="435"/>
      <c r="L6" s="1"/>
      <c r="M6" s="135" t="s">
        <v>15</v>
      </c>
      <c r="N6" s="134"/>
      <c r="O6" s="134">
        <v>1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288" t="s">
        <v>184</v>
      </c>
      <c r="B7" s="295">
        <v>44668</v>
      </c>
      <c r="C7" s="297">
        <v>45729</v>
      </c>
      <c r="D7" s="273" t="s">
        <v>237</v>
      </c>
      <c r="E7" s="273">
        <v>14.4</v>
      </c>
      <c r="F7" s="390">
        <v>1</v>
      </c>
      <c r="G7" s="75">
        <f t="shared" si="0"/>
        <v>14.4</v>
      </c>
      <c r="H7" s="126">
        <v>15</v>
      </c>
      <c r="I7" s="126" t="s">
        <v>275</v>
      </c>
      <c r="J7" s="126" t="s">
        <v>271</v>
      </c>
      <c r="K7" s="99" t="s">
        <v>290</v>
      </c>
      <c r="L7" s="1"/>
      <c r="M7" s="135" t="s">
        <v>17</v>
      </c>
      <c r="N7" s="134"/>
      <c r="O7" s="13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289" t="s">
        <v>50</v>
      </c>
      <c r="B8" s="295">
        <v>44743</v>
      </c>
      <c r="C8" s="297">
        <v>45729</v>
      </c>
      <c r="D8" s="273" t="s">
        <v>224</v>
      </c>
      <c r="E8" s="389">
        <v>16</v>
      </c>
      <c r="F8" s="273">
        <v>0.95</v>
      </c>
      <c r="G8" s="75">
        <f t="shared" si="0"/>
        <v>17.72853185595568</v>
      </c>
      <c r="H8" s="126" t="s">
        <v>271</v>
      </c>
      <c r="I8" s="126" t="s">
        <v>271</v>
      </c>
      <c r="J8" s="126" t="s">
        <v>275</v>
      </c>
      <c r="K8" s="99" t="s">
        <v>288</v>
      </c>
      <c r="L8" s="1"/>
      <c r="M8" s="135" t="s">
        <v>18</v>
      </c>
      <c r="N8" s="134">
        <f>SUM(N5:N7)</f>
        <v>5</v>
      </c>
      <c r="O8" s="134">
        <f>SUM(O5:O7)</f>
        <v>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279" t="s">
        <v>145</v>
      </c>
      <c r="B9" s="293">
        <v>44758</v>
      </c>
      <c r="C9" s="296">
        <v>45729</v>
      </c>
      <c r="D9" s="283" t="s">
        <v>226</v>
      </c>
      <c r="E9" s="283">
        <v>14.8</v>
      </c>
      <c r="F9" s="283">
        <v>0.94</v>
      </c>
      <c r="G9" s="215">
        <f t="shared" si="0"/>
        <v>16.749660479855141</v>
      </c>
      <c r="H9" s="233" t="s">
        <v>269</v>
      </c>
      <c r="I9" s="233" t="s">
        <v>271</v>
      </c>
      <c r="J9" s="284" t="s">
        <v>269</v>
      </c>
      <c r="K9" s="217" t="s">
        <v>290</v>
      </c>
      <c r="L9" s="1"/>
      <c r="M9" s="135" t="s">
        <v>19</v>
      </c>
      <c r="N9" s="134"/>
      <c r="O9" s="199">
        <f>SUM(N8:O8)</f>
        <v>10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279" t="s">
        <v>185</v>
      </c>
      <c r="B10" s="293">
        <v>44843</v>
      </c>
      <c r="C10" s="296">
        <v>45729</v>
      </c>
      <c r="D10" s="283" t="s">
        <v>227</v>
      </c>
      <c r="E10" s="283">
        <v>11.6</v>
      </c>
      <c r="F10" s="283">
        <v>0.87</v>
      </c>
      <c r="G10" s="285">
        <f t="shared" si="0"/>
        <v>15.325670498084291</v>
      </c>
      <c r="H10" s="286" t="s">
        <v>274</v>
      </c>
      <c r="I10" s="286" t="s">
        <v>274</v>
      </c>
      <c r="J10" s="286" t="s">
        <v>272</v>
      </c>
      <c r="K10" s="287" t="s">
        <v>290</v>
      </c>
      <c r="L10" s="1"/>
      <c r="M10" s="136"/>
      <c r="N10" s="137"/>
      <c r="O10" s="13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289" t="s">
        <v>51</v>
      </c>
      <c r="B11" s="295">
        <v>44700</v>
      </c>
      <c r="C11" s="297">
        <v>45729</v>
      </c>
      <c r="D11" s="273" t="s">
        <v>223</v>
      </c>
      <c r="E11" s="273">
        <v>15.1</v>
      </c>
      <c r="F11" s="273">
        <v>0.97</v>
      </c>
      <c r="G11" s="75">
        <f t="shared" si="0"/>
        <v>16.048464236369433</v>
      </c>
      <c r="H11" s="126" t="s">
        <v>275</v>
      </c>
      <c r="I11" s="126" t="s">
        <v>269</v>
      </c>
      <c r="J11" s="126" t="s">
        <v>269</v>
      </c>
      <c r="K11" s="99" t="s">
        <v>290</v>
      </c>
      <c r="L11" s="1"/>
      <c r="M11" s="138"/>
      <c r="N11" s="139"/>
      <c r="O11" s="13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289" t="s">
        <v>186</v>
      </c>
      <c r="B12" s="295">
        <v>44718</v>
      </c>
      <c r="C12" s="297">
        <v>45729</v>
      </c>
      <c r="D12" s="273" t="s">
        <v>223</v>
      </c>
      <c r="E12" s="273">
        <v>15.3</v>
      </c>
      <c r="F12" s="273">
        <v>0.98</v>
      </c>
      <c r="G12" s="290">
        <f t="shared" si="0"/>
        <v>15.930862140774678</v>
      </c>
      <c r="H12" s="291" t="s">
        <v>275</v>
      </c>
      <c r="I12" s="291" t="s">
        <v>269</v>
      </c>
      <c r="J12" s="291" t="s">
        <v>271</v>
      </c>
      <c r="K12" s="292" t="s">
        <v>290</v>
      </c>
      <c r="L12" s="28"/>
      <c r="M12" s="51"/>
      <c r="N12" s="52"/>
      <c r="O12" s="52"/>
      <c r="P12" s="45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436" t="s">
        <v>137</v>
      </c>
      <c r="B13" s="437">
        <v>44994</v>
      </c>
      <c r="C13" s="438"/>
      <c r="D13" s="439"/>
      <c r="E13" s="439"/>
      <c r="F13" s="439"/>
      <c r="G13" s="440" t="e">
        <f t="shared" si="0"/>
        <v>#DIV/0!</v>
      </c>
      <c r="H13" s="441"/>
      <c r="I13" s="441"/>
      <c r="J13" s="441"/>
      <c r="K13" s="442"/>
      <c r="L13" s="28"/>
      <c r="M13" s="51"/>
      <c r="N13" s="52"/>
      <c r="O13" s="52"/>
      <c r="P13" s="45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279" t="s">
        <v>187</v>
      </c>
      <c r="B14" s="293">
        <v>44813</v>
      </c>
      <c r="C14" s="296">
        <v>45729</v>
      </c>
      <c r="D14" s="283" t="s">
        <v>225</v>
      </c>
      <c r="E14" s="283">
        <v>12.6</v>
      </c>
      <c r="F14" s="283">
        <v>0.89</v>
      </c>
      <c r="G14" s="215">
        <f t="shared" si="0"/>
        <v>15.907082439085974</v>
      </c>
      <c r="H14" s="233" t="s">
        <v>275</v>
      </c>
      <c r="I14" s="233" t="s">
        <v>274</v>
      </c>
      <c r="J14" s="233" t="s">
        <v>274</v>
      </c>
      <c r="K14" s="217" t="s">
        <v>290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272" t="s">
        <v>138</v>
      </c>
      <c r="B15" s="294" t="s">
        <v>188</v>
      </c>
      <c r="C15" s="297">
        <v>45729</v>
      </c>
      <c r="D15" s="273" t="s">
        <v>238</v>
      </c>
      <c r="E15" s="273">
        <v>12.8</v>
      </c>
      <c r="F15" s="273">
        <v>0.92</v>
      </c>
      <c r="G15" s="290">
        <f t="shared" si="0"/>
        <v>15.122873345935728</v>
      </c>
      <c r="H15" s="291">
        <v>25</v>
      </c>
      <c r="I15" s="291" t="s">
        <v>275</v>
      </c>
      <c r="J15" s="291" t="s">
        <v>269</v>
      </c>
      <c r="K15" s="292" t="s">
        <v>290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">
    <mergeCell ref="A1:J1"/>
  </mergeCells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5E0B3"/>
  </sheetPr>
  <dimension ref="A1:M1000"/>
  <sheetViews>
    <sheetView topLeftCell="A34" workbookViewId="0">
      <selection activeCell="M64" sqref="M64"/>
    </sheetView>
  </sheetViews>
  <sheetFormatPr defaultColWidth="14.44140625" defaultRowHeight="15" customHeight="1"/>
  <cols>
    <col min="1" max="1" width="11.33203125" customWidth="1"/>
    <col min="2" max="2" width="10.6640625" customWidth="1"/>
    <col min="3" max="3" width="8.6640625" customWidth="1"/>
    <col min="4" max="4" width="6.5546875" customWidth="1"/>
    <col min="5" max="5" width="5.33203125" customWidth="1"/>
    <col min="6" max="6" width="10.6640625" customWidth="1"/>
    <col min="7" max="7" width="3.88671875" customWidth="1"/>
    <col min="8" max="8" width="11.33203125" customWidth="1"/>
    <col min="9" max="9" width="10.6640625" customWidth="1"/>
    <col min="10" max="11" width="8.6640625" customWidth="1"/>
    <col min="12" max="12" width="4.88671875" customWidth="1"/>
    <col min="13" max="13" width="10.77734375" bestFit="1" customWidth="1"/>
    <col min="14" max="26" width="8.6640625" customWidth="1"/>
  </cols>
  <sheetData>
    <row r="1" spans="1:13" ht="14.25" customHeight="1">
      <c r="A1" s="13" t="s">
        <v>21</v>
      </c>
      <c r="B1" s="487" t="str">
        <f>'Mini Maternal B'!A4</f>
        <v>Bella P. D'Acunto T. Viera</v>
      </c>
      <c r="C1" s="485"/>
      <c r="D1" s="486"/>
      <c r="E1" s="14" t="s">
        <v>22</v>
      </c>
      <c r="F1" s="15">
        <f>'Mini Maternal B'!B4</f>
        <v>44968</v>
      </c>
      <c r="H1" s="13" t="s">
        <v>21</v>
      </c>
      <c r="I1" s="487" t="str">
        <f>'Mini Maternal B'!A9</f>
        <v>Julia Gianini Freitas</v>
      </c>
      <c r="J1" s="485"/>
      <c r="K1" s="486"/>
      <c r="L1" s="14" t="s">
        <v>22</v>
      </c>
      <c r="M1" s="15">
        <f>'Mini Maternal B'!B9</f>
        <v>44758</v>
      </c>
    </row>
    <row r="2" spans="1:13" ht="14.25" customHeight="1">
      <c r="A2" s="466" t="s">
        <v>23</v>
      </c>
      <c r="B2" s="467"/>
      <c r="C2" s="467"/>
      <c r="D2" s="467"/>
      <c r="E2" s="467"/>
      <c r="F2" s="468"/>
      <c r="H2" s="466" t="s">
        <v>23</v>
      </c>
      <c r="I2" s="467"/>
      <c r="J2" s="467"/>
      <c r="K2" s="467"/>
      <c r="L2" s="467"/>
      <c r="M2" s="468"/>
    </row>
    <row r="3" spans="1:13" ht="14.25" customHeight="1">
      <c r="A3" s="16" t="s">
        <v>24</v>
      </c>
      <c r="B3" s="17">
        <f>'Mini Maternal B'!C4</f>
        <v>45729</v>
      </c>
      <c r="C3" s="18" t="s">
        <v>25</v>
      </c>
      <c r="D3" s="469" t="s">
        <v>26</v>
      </c>
      <c r="E3" s="470"/>
      <c r="F3" s="19" t="str">
        <f>'Mini Maternal B'!D4</f>
        <v>2a 1m</v>
      </c>
      <c r="H3" s="16" t="s">
        <v>24</v>
      </c>
      <c r="I3" s="17">
        <f>'Mini Maternal B'!C9</f>
        <v>45729</v>
      </c>
      <c r="J3" s="18" t="s">
        <v>25</v>
      </c>
      <c r="K3" s="469" t="s">
        <v>26</v>
      </c>
      <c r="L3" s="470"/>
      <c r="M3" s="19" t="str">
        <f>'Mini Maternal B'!D9</f>
        <v>2a 7m</v>
      </c>
    </row>
    <row r="4" spans="1:13" ht="14.25" customHeight="1">
      <c r="A4" s="20" t="s">
        <v>3</v>
      </c>
      <c r="B4" s="23">
        <f>'Mini Maternal B'!E4</f>
        <v>11.3</v>
      </c>
      <c r="C4" s="26" t="str">
        <f>'Mini Maternal B'!I4</f>
        <v>25-50</v>
      </c>
      <c r="D4" s="471"/>
      <c r="E4" s="472"/>
      <c r="F4" s="473"/>
      <c r="H4" s="20" t="s">
        <v>3</v>
      </c>
      <c r="I4" s="23">
        <f>'Mini Maternal B'!E9</f>
        <v>14.8</v>
      </c>
      <c r="J4" s="26" t="str">
        <f>'Mini Maternal B'!I9</f>
        <v>85-95</v>
      </c>
      <c r="K4" s="483"/>
      <c r="L4" s="472"/>
      <c r="M4" s="473"/>
    </row>
    <row r="5" spans="1:13" ht="14.25" customHeight="1">
      <c r="A5" s="20" t="s">
        <v>27</v>
      </c>
      <c r="B5" s="21">
        <f>'Mini Maternal B'!F4</f>
        <v>0.85</v>
      </c>
      <c r="C5" s="26" t="str">
        <f>'Mini Maternal B'!J4</f>
        <v>25-50</v>
      </c>
      <c r="D5" s="474"/>
      <c r="E5" s="475"/>
      <c r="F5" s="476"/>
      <c r="H5" s="20" t="s">
        <v>27</v>
      </c>
      <c r="I5" s="23">
        <f>'Mini Maternal B'!F9</f>
        <v>0.94</v>
      </c>
      <c r="J5" s="23" t="str">
        <f>'Mini Maternal B'!J9</f>
        <v>75-85</v>
      </c>
      <c r="K5" s="474"/>
      <c r="L5" s="475"/>
      <c r="M5" s="476"/>
    </row>
    <row r="6" spans="1:13" ht="14.25" customHeight="1">
      <c r="A6" s="20" t="s">
        <v>74</v>
      </c>
      <c r="B6" s="21">
        <f>'Mini Maternal B'!G4</f>
        <v>15.640138408304502</v>
      </c>
      <c r="C6" s="26" t="str">
        <f>'Mini Maternal B'!H4</f>
        <v>25-50</v>
      </c>
      <c r="D6" s="477"/>
      <c r="E6" s="478"/>
      <c r="F6" s="479"/>
      <c r="H6" s="20" t="s">
        <v>75</v>
      </c>
      <c r="I6" s="21">
        <f>'Mini Maternal B'!G9</f>
        <v>16.749660479855141</v>
      </c>
      <c r="J6" s="26" t="str">
        <f>'Mini Maternal B'!H9</f>
        <v>75-85</v>
      </c>
      <c r="K6" s="477"/>
      <c r="L6" s="478"/>
      <c r="M6" s="479"/>
    </row>
    <row r="7" spans="1:13" ht="30.6" customHeight="1">
      <c r="A7" s="24" t="s">
        <v>30</v>
      </c>
      <c r="B7" s="480" t="str">
        <f>'Mini Maternal B'!K4</f>
        <v>ADEQUADO</v>
      </c>
      <c r="C7" s="481"/>
      <c r="D7" s="481"/>
      <c r="E7" s="481"/>
      <c r="F7" s="482"/>
      <c r="H7" s="24" t="s">
        <v>30</v>
      </c>
      <c r="I7" s="480" t="str">
        <f>'Mini Maternal B'!K9</f>
        <v>ADEQUADO</v>
      </c>
      <c r="J7" s="481"/>
      <c r="K7" s="481"/>
      <c r="L7" s="481"/>
      <c r="M7" s="482"/>
    </row>
    <row r="8" spans="1:13" ht="7.5" customHeight="1"/>
    <row r="9" spans="1:13" ht="14.25" customHeight="1">
      <c r="A9" s="13" t="s">
        <v>21</v>
      </c>
      <c r="B9" s="487" t="str">
        <f>'Mini Maternal B'!A5</f>
        <v>Giovanna Gianini Freitas</v>
      </c>
      <c r="C9" s="485"/>
      <c r="D9" s="486"/>
      <c r="E9" s="14" t="s">
        <v>22</v>
      </c>
      <c r="F9" s="15">
        <f>'Mini Maternal B'!B5</f>
        <v>44758</v>
      </c>
      <c r="H9" s="13" t="s">
        <v>21</v>
      </c>
      <c r="I9" s="487" t="str">
        <f>'Mini Maternal B'!A10</f>
        <v>Malu Costa M. Pereira</v>
      </c>
      <c r="J9" s="485"/>
      <c r="K9" s="486"/>
      <c r="L9" s="14" t="s">
        <v>22</v>
      </c>
      <c r="M9" s="15">
        <f>'Mini Maternal B'!B10</f>
        <v>44843</v>
      </c>
    </row>
    <row r="10" spans="1:13" ht="14.25" customHeight="1">
      <c r="A10" s="466" t="s">
        <v>23</v>
      </c>
      <c r="B10" s="467"/>
      <c r="C10" s="467"/>
      <c r="D10" s="467"/>
      <c r="E10" s="467"/>
      <c r="F10" s="468"/>
      <c r="H10" s="466" t="s">
        <v>23</v>
      </c>
      <c r="I10" s="467"/>
      <c r="J10" s="467"/>
      <c r="K10" s="467"/>
      <c r="L10" s="467"/>
      <c r="M10" s="468"/>
    </row>
    <row r="11" spans="1:13" ht="14.25" customHeight="1">
      <c r="A11" s="16" t="s">
        <v>24</v>
      </c>
      <c r="B11" s="17">
        <f>'Mini Maternal B'!C5</f>
        <v>45729</v>
      </c>
      <c r="C11" s="18" t="s">
        <v>25</v>
      </c>
      <c r="D11" s="469" t="s">
        <v>26</v>
      </c>
      <c r="E11" s="470"/>
      <c r="F11" s="19" t="str">
        <f>'Mini Maternal B'!D5</f>
        <v>2a 7m</v>
      </c>
      <c r="H11" s="16" t="s">
        <v>24</v>
      </c>
      <c r="I11" s="17">
        <f>'Mini Maternal B'!C10</f>
        <v>45729</v>
      </c>
      <c r="J11" s="18" t="s">
        <v>25</v>
      </c>
      <c r="K11" s="469" t="s">
        <v>26</v>
      </c>
      <c r="L11" s="470"/>
      <c r="M11" s="19" t="str">
        <f>'Mini Maternal B'!D10</f>
        <v>2a 5m</v>
      </c>
    </row>
    <row r="12" spans="1:13" ht="14.25" customHeight="1">
      <c r="A12" s="20" t="s">
        <v>3</v>
      </c>
      <c r="B12" s="23">
        <f>'Mini Maternal B'!E5</f>
        <v>14</v>
      </c>
      <c r="C12" s="26" t="str">
        <f>'Mini Maternal B'!I5</f>
        <v>50-75</v>
      </c>
      <c r="D12" s="471"/>
      <c r="E12" s="472"/>
      <c r="F12" s="473"/>
      <c r="H12" s="20" t="s">
        <v>3</v>
      </c>
      <c r="I12" s="23">
        <f>'Mini Maternal B'!E10</f>
        <v>11.6</v>
      </c>
      <c r="J12" s="26" t="str">
        <f>'Mini Maternal B'!I10</f>
        <v>25-50</v>
      </c>
      <c r="K12" s="483"/>
      <c r="L12" s="472"/>
      <c r="M12" s="473"/>
    </row>
    <row r="13" spans="1:13" ht="14.25" customHeight="1">
      <c r="A13" s="20" t="s">
        <v>27</v>
      </c>
      <c r="B13" s="21">
        <f>'Mini Maternal B'!F5</f>
        <v>0.94</v>
      </c>
      <c r="C13" s="26" t="str">
        <f>'Mini Maternal B'!J5</f>
        <v>75-85</v>
      </c>
      <c r="D13" s="474"/>
      <c r="E13" s="475"/>
      <c r="F13" s="476"/>
      <c r="H13" s="20" t="s">
        <v>27</v>
      </c>
      <c r="I13" s="21">
        <f>'Mini Maternal B'!F10</f>
        <v>0.87</v>
      </c>
      <c r="J13" s="26" t="str">
        <f>'Mini Maternal B'!J10</f>
        <v>15-25</v>
      </c>
      <c r="K13" s="474"/>
      <c r="L13" s="475"/>
      <c r="M13" s="476"/>
    </row>
    <row r="14" spans="1:13" ht="14.25" customHeight="1">
      <c r="A14" s="20" t="s">
        <v>28</v>
      </c>
      <c r="B14" s="21">
        <f>'Mini Maternal B'!G5</f>
        <v>15.844273426889997</v>
      </c>
      <c r="C14" s="26" t="str">
        <f>'Mini Maternal B'!H5</f>
        <v>50-75</v>
      </c>
      <c r="D14" s="477"/>
      <c r="E14" s="478"/>
      <c r="F14" s="479"/>
      <c r="H14" s="20" t="s">
        <v>28</v>
      </c>
      <c r="I14" s="21">
        <f>'Mini Maternal B'!G10</f>
        <v>15.325670498084291</v>
      </c>
      <c r="J14" s="26" t="str">
        <f>'Mini Maternal B'!H10</f>
        <v>25-50</v>
      </c>
      <c r="K14" s="477"/>
      <c r="L14" s="478"/>
      <c r="M14" s="479"/>
    </row>
    <row r="15" spans="1:13" ht="14.25" customHeight="1">
      <c r="A15" s="24" t="s">
        <v>30</v>
      </c>
      <c r="B15" s="480" t="str">
        <f>'Mini Maternal B'!K5</f>
        <v>ADEQUADO</v>
      </c>
      <c r="C15" s="481"/>
      <c r="D15" s="481"/>
      <c r="E15" s="481"/>
      <c r="F15" s="482"/>
      <c r="H15" s="24" t="s">
        <v>30</v>
      </c>
      <c r="I15" s="480" t="str">
        <f>'Mini Maternal B'!K10</f>
        <v>ADEQUADO</v>
      </c>
      <c r="J15" s="481"/>
      <c r="K15" s="481"/>
      <c r="L15" s="481"/>
      <c r="M15" s="482"/>
    </row>
    <row r="16" spans="1:13" ht="6" customHeight="1"/>
    <row r="17" spans="1:13" ht="14.25" customHeight="1">
      <c r="A17" s="13" t="s">
        <v>21</v>
      </c>
      <c r="B17" s="487" t="str">
        <f>'Mini Maternal B'!A6</f>
        <v>Heitor F. S. Lourenço</v>
      </c>
      <c r="C17" s="485"/>
      <c r="D17" s="486"/>
      <c r="E17" s="14" t="s">
        <v>22</v>
      </c>
      <c r="F17" s="15">
        <f>'Mini Maternal B'!B6</f>
        <v>44845</v>
      </c>
      <c r="H17" s="13" t="s">
        <v>21</v>
      </c>
      <c r="I17" s="487" t="str">
        <f>'Mini Maternal B'!A11</f>
        <v>Noah Lacativa Penna</v>
      </c>
      <c r="J17" s="485"/>
      <c r="K17" s="486"/>
      <c r="L17" s="14" t="s">
        <v>22</v>
      </c>
      <c r="M17" s="15">
        <f>'Mini Maternal B'!B11</f>
        <v>44700</v>
      </c>
    </row>
    <row r="18" spans="1:13" ht="14.25" customHeight="1">
      <c r="A18" s="466" t="s">
        <v>23</v>
      </c>
      <c r="B18" s="467"/>
      <c r="C18" s="467"/>
      <c r="D18" s="467"/>
      <c r="E18" s="467"/>
      <c r="F18" s="468"/>
      <c r="H18" s="466" t="s">
        <v>23</v>
      </c>
      <c r="I18" s="467"/>
      <c r="J18" s="467"/>
      <c r="K18" s="467"/>
      <c r="L18" s="467"/>
      <c r="M18" s="468"/>
    </row>
    <row r="19" spans="1:13" ht="14.25" customHeight="1">
      <c r="A19" s="16" t="s">
        <v>24</v>
      </c>
      <c r="B19" s="17">
        <f>'Mini Maternal B'!C6</f>
        <v>0</v>
      </c>
      <c r="C19" s="18" t="s">
        <v>25</v>
      </c>
      <c r="D19" s="469" t="s">
        <v>26</v>
      </c>
      <c r="E19" s="470"/>
      <c r="F19" s="19">
        <f>'Mini Maternal B'!D6</f>
        <v>0</v>
      </c>
      <c r="H19" s="16" t="s">
        <v>24</v>
      </c>
      <c r="I19" s="17">
        <f>'Mini Maternal B'!C11</f>
        <v>45729</v>
      </c>
      <c r="J19" s="18" t="s">
        <v>25</v>
      </c>
      <c r="K19" s="469" t="s">
        <v>26</v>
      </c>
      <c r="L19" s="470"/>
      <c r="M19" s="19" t="str">
        <f>'Mini Maternal B'!D11</f>
        <v>2a 9m</v>
      </c>
    </row>
    <row r="20" spans="1:13" ht="14.25" customHeight="1">
      <c r="A20" s="20" t="s">
        <v>3</v>
      </c>
      <c r="B20" s="23">
        <f>'Mini Maternal B'!E6</f>
        <v>0</v>
      </c>
      <c r="C20" s="26">
        <f>'Mini Maternal B'!I6</f>
        <v>0</v>
      </c>
      <c r="D20" s="471"/>
      <c r="E20" s="472"/>
      <c r="F20" s="473"/>
      <c r="H20" s="20" t="s">
        <v>3</v>
      </c>
      <c r="I20" s="23">
        <f>'Mini Maternal B'!E11</f>
        <v>15.1</v>
      </c>
      <c r="J20" s="26" t="str">
        <f>'Mini Maternal B'!I11</f>
        <v>75-85</v>
      </c>
      <c r="K20" s="483"/>
      <c r="L20" s="472"/>
      <c r="M20" s="473"/>
    </row>
    <row r="21" spans="1:13" ht="14.25" customHeight="1">
      <c r="A21" s="20" t="s">
        <v>27</v>
      </c>
      <c r="B21" s="21">
        <f>'Mini Maternal B'!F6</f>
        <v>0</v>
      </c>
      <c r="C21" s="26">
        <f>'Mini Maternal B'!J6</f>
        <v>0</v>
      </c>
      <c r="D21" s="474"/>
      <c r="E21" s="475"/>
      <c r="F21" s="476"/>
      <c r="H21" s="20" t="s">
        <v>27</v>
      </c>
      <c r="I21" s="23">
        <f>'Mini Maternal B'!F11</f>
        <v>0.97</v>
      </c>
      <c r="J21" s="26" t="str">
        <f>'Mini Maternal B'!J11</f>
        <v>75-85</v>
      </c>
      <c r="K21" s="474"/>
      <c r="L21" s="475"/>
      <c r="M21" s="476"/>
    </row>
    <row r="22" spans="1:13" ht="14.25" customHeight="1">
      <c r="A22" s="20" t="s">
        <v>28</v>
      </c>
      <c r="B22" s="21" t="e">
        <f>'Mini Maternal B'!G6</f>
        <v>#DIV/0!</v>
      </c>
      <c r="C22" s="26">
        <f>'Mini Maternal B'!H6</f>
        <v>0</v>
      </c>
      <c r="D22" s="477"/>
      <c r="E22" s="478"/>
      <c r="F22" s="479"/>
      <c r="H22" s="20" t="s">
        <v>28</v>
      </c>
      <c r="I22" s="21">
        <f>'Mini Maternal B'!G11</f>
        <v>16.048464236369433</v>
      </c>
      <c r="J22" s="26" t="str">
        <f>'Mini Maternal B'!H11</f>
        <v>50-75</v>
      </c>
      <c r="K22" s="477"/>
      <c r="L22" s="478"/>
      <c r="M22" s="479"/>
    </row>
    <row r="23" spans="1:13" ht="14.25" customHeight="1">
      <c r="A23" s="24" t="s">
        <v>30</v>
      </c>
      <c r="B23" s="480">
        <f>'Mini Maternal B'!K6</f>
        <v>0</v>
      </c>
      <c r="C23" s="481"/>
      <c r="D23" s="481"/>
      <c r="E23" s="481"/>
      <c r="F23" s="482"/>
      <c r="H23" s="24" t="s">
        <v>30</v>
      </c>
      <c r="I23" s="480" t="str">
        <f>'Mini Maternal B'!K11</f>
        <v>ADEQUADO</v>
      </c>
      <c r="J23" s="481"/>
      <c r="K23" s="481"/>
      <c r="L23" s="481"/>
      <c r="M23" s="482"/>
    </row>
    <row r="24" spans="1:13" ht="8.25" customHeight="1"/>
    <row r="25" spans="1:13" ht="14.25" customHeight="1">
      <c r="A25" s="13" t="s">
        <v>21</v>
      </c>
      <c r="B25" s="487" t="str">
        <f>'Mini Maternal B'!A7</f>
        <v>Henrique M. Gonçalves</v>
      </c>
      <c r="C25" s="485"/>
      <c r="D25" s="486"/>
      <c r="E25" s="14" t="s">
        <v>22</v>
      </c>
      <c r="F25" s="15">
        <f>'Mini Maternal B'!B7</f>
        <v>44668</v>
      </c>
      <c r="H25" s="13" t="s">
        <v>21</v>
      </c>
      <c r="I25" s="487" t="str">
        <f>'Mini Maternal B'!A12</f>
        <v>Pedro M.Augusto de Souza</v>
      </c>
      <c r="J25" s="485"/>
      <c r="K25" s="486"/>
      <c r="L25" s="14" t="s">
        <v>22</v>
      </c>
      <c r="M25" s="15">
        <f>'Mini Maternal B'!B12</f>
        <v>44718</v>
      </c>
    </row>
    <row r="26" spans="1:13" ht="14.25" customHeight="1">
      <c r="A26" s="466" t="s">
        <v>23</v>
      </c>
      <c r="B26" s="467"/>
      <c r="C26" s="467"/>
      <c r="D26" s="467"/>
      <c r="E26" s="467"/>
      <c r="F26" s="468"/>
      <c r="H26" s="466" t="s">
        <v>23</v>
      </c>
      <c r="I26" s="467"/>
      <c r="J26" s="467"/>
      <c r="K26" s="467"/>
      <c r="L26" s="467"/>
      <c r="M26" s="468"/>
    </row>
    <row r="27" spans="1:13" ht="14.25" customHeight="1">
      <c r="A27" s="16" t="s">
        <v>24</v>
      </c>
      <c r="B27" s="17">
        <f>'Mini Maternal B'!C7</f>
        <v>45729</v>
      </c>
      <c r="C27" s="18" t="s">
        <v>25</v>
      </c>
      <c r="D27" s="469" t="s">
        <v>26</v>
      </c>
      <c r="E27" s="470"/>
      <c r="F27" s="19" t="str">
        <f>'Mini Maternal B'!D7</f>
        <v>2a 10m</v>
      </c>
      <c r="H27" s="16" t="s">
        <v>24</v>
      </c>
      <c r="I27" s="17">
        <f>'Mini Maternal B'!C12</f>
        <v>45729</v>
      </c>
      <c r="J27" s="18" t="s">
        <v>25</v>
      </c>
      <c r="K27" s="469" t="s">
        <v>26</v>
      </c>
      <c r="L27" s="470"/>
      <c r="M27" s="19" t="str">
        <f>'Mini Maternal B'!D12</f>
        <v>2a 9m</v>
      </c>
    </row>
    <row r="28" spans="1:13" ht="14.25" customHeight="1">
      <c r="A28" s="20" t="s">
        <v>3</v>
      </c>
      <c r="B28" s="23">
        <f>'Mini Maternal B'!E7</f>
        <v>14.4</v>
      </c>
      <c r="C28" s="26">
        <f>'Mini Maternal B'!I21</f>
        <v>0</v>
      </c>
      <c r="D28" s="471"/>
      <c r="E28" s="472"/>
      <c r="F28" s="473"/>
      <c r="H28" s="20" t="s">
        <v>3</v>
      </c>
      <c r="I28" s="23">
        <f>'Mini Maternal B'!E12</f>
        <v>15.3</v>
      </c>
      <c r="J28" s="26" t="str">
        <f>'Mini Maternal B'!I12</f>
        <v>75-85</v>
      </c>
      <c r="K28" s="483"/>
      <c r="L28" s="472"/>
      <c r="M28" s="473"/>
    </row>
    <row r="29" spans="1:13" ht="14.25" customHeight="1">
      <c r="A29" s="20" t="s">
        <v>27</v>
      </c>
      <c r="B29" s="21">
        <f>'Mini Maternal B'!F7</f>
        <v>1</v>
      </c>
      <c r="C29" s="26">
        <f>'Mini Maternal B'!J21</f>
        <v>0</v>
      </c>
      <c r="D29" s="474"/>
      <c r="E29" s="475"/>
      <c r="F29" s="476"/>
      <c r="H29" s="20" t="s">
        <v>27</v>
      </c>
      <c r="I29" s="23">
        <f>'Mini Maternal B'!F12</f>
        <v>0.98</v>
      </c>
      <c r="J29" s="26" t="str">
        <f>'Mini Maternal B'!J12</f>
        <v>85-95</v>
      </c>
      <c r="K29" s="474"/>
      <c r="L29" s="475"/>
      <c r="M29" s="476"/>
    </row>
    <row r="30" spans="1:13" ht="14.25" customHeight="1">
      <c r="A30" s="20" t="s">
        <v>28</v>
      </c>
      <c r="B30" s="21">
        <f>'Mini Maternal B'!G7</f>
        <v>14.4</v>
      </c>
      <c r="C30" s="26">
        <f>'Mini Maternal B'!H21</f>
        <v>0</v>
      </c>
      <c r="D30" s="477"/>
      <c r="E30" s="478"/>
      <c r="F30" s="479"/>
      <c r="H30" s="20" t="s">
        <v>28</v>
      </c>
      <c r="I30" s="21">
        <f>'Mini Maternal B'!G12</f>
        <v>15.930862140774678</v>
      </c>
      <c r="J30" s="26" t="str">
        <f>'Mini Maternal B'!H12</f>
        <v>50-75</v>
      </c>
      <c r="K30" s="477"/>
      <c r="L30" s="478"/>
      <c r="M30" s="479"/>
    </row>
    <row r="31" spans="1:13" ht="14.25" customHeight="1">
      <c r="A31" s="24" t="s">
        <v>30</v>
      </c>
      <c r="B31" s="480" t="str">
        <f>'Mini Maternal B'!K7</f>
        <v>ADEQUADO</v>
      </c>
      <c r="C31" s="481"/>
      <c r="D31" s="481"/>
      <c r="E31" s="481"/>
      <c r="F31" s="482"/>
      <c r="H31" s="24" t="s">
        <v>30</v>
      </c>
      <c r="I31" s="480" t="str">
        <f>'Mini Maternal B'!K12</f>
        <v>ADEQUADO</v>
      </c>
      <c r="J31" s="481"/>
      <c r="K31" s="481"/>
      <c r="L31" s="481"/>
      <c r="M31" s="482"/>
    </row>
    <row r="32" spans="1:13" ht="14.25" customHeight="1"/>
    <row r="33" spans="1:13" ht="14.25" customHeight="1">
      <c r="A33" s="13" t="s">
        <v>21</v>
      </c>
      <c r="B33" s="487" t="str">
        <f>'Mini Maternal B'!A8</f>
        <v>Jorge Cavalheiro Mauá Diba</v>
      </c>
      <c r="C33" s="485"/>
      <c r="D33" s="486"/>
      <c r="E33" s="14" t="s">
        <v>22</v>
      </c>
      <c r="F33" s="15">
        <f>'Mini Maternal B'!B8</f>
        <v>44743</v>
      </c>
      <c r="H33" s="13" t="s">
        <v>21</v>
      </c>
      <c r="I33" s="487" t="str">
        <f>'Mini Maternal B'!A13</f>
        <v>Rafaela Saori Teruya Lima</v>
      </c>
      <c r="J33" s="485"/>
      <c r="K33" s="486"/>
      <c r="L33" s="14" t="s">
        <v>22</v>
      </c>
      <c r="M33" s="15">
        <f>'Mini Maternal B'!B13</f>
        <v>44994</v>
      </c>
    </row>
    <row r="34" spans="1:13" ht="14.25" customHeight="1">
      <c r="A34" s="466" t="s">
        <v>23</v>
      </c>
      <c r="B34" s="467"/>
      <c r="C34" s="467"/>
      <c r="D34" s="467"/>
      <c r="E34" s="467"/>
      <c r="F34" s="468"/>
      <c r="H34" s="466" t="s">
        <v>23</v>
      </c>
      <c r="I34" s="467"/>
      <c r="J34" s="467"/>
      <c r="K34" s="467"/>
      <c r="L34" s="467"/>
      <c r="M34" s="468"/>
    </row>
    <row r="35" spans="1:13" ht="14.25" customHeight="1">
      <c r="A35" s="16" t="s">
        <v>24</v>
      </c>
      <c r="B35" s="17">
        <f>'Mini Maternal B'!C8</f>
        <v>45729</v>
      </c>
      <c r="C35" s="18" t="s">
        <v>25</v>
      </c>
      <c r="D35" s="469" t="s">
        <v>26</v>
      </c>
      <c r="E35" s="470"/>
      <c r="F35" s="19" t="str">
        <f>'Mini Maternal B'!D8</f>
        <v>2a 8m</v>
      </c>
      <c r="H35" s="16" t="s">
        <v>24</v>
      </c>
      <c r="I35" s="17">
        <f>'Mini Maternal B'!C13</f>
        <v>0</v>
      </c>
      <c r="J35" s="18" t="s">
        <v>25</v>
      </c>
      <c r="K35" s="469" t="s">
        <v>26</v>
      </c>
      <c r="L35" s="470"/>
      <c r="M35" s="19">
        <f>'Mini Maternal B'!D13</f>
        <v>0</v>
      </c>
    </row>
    <row r="36" spans="1:13" ht="14.25" customHeight="1">
      <c r="A36" s="20" t="s">
        <v>3</v>
      </c>
      <c r="B36" s="23">
        <f>'Mini Maternal B'!E8</f>
        <v>16</v>
      </c>
      <c r="C36" s="26">
        <f>'Mini Maternal B'!I29</f>
        <v>0</v>
      </c>
      <c r="D36" s="471"/>
      <c r="E36" s="472"/>
      <c r="F36" s="473"/>
      <c r="H36" s="20" t="s">
        <v>3</v>
      </c>
      <c r="I36" s="23">
        <f>'Mini Maternal B'!E13</f>
        <v>0</v>
      </c>
      <c r="J36" s="26">
        <f>'Mini Maternal B'!I13</f>
        <v>0</v>
      </c>
      <c r="K36" s="483"/>
      <c r="L36" s="472"/>
      <c r="M36" s="473"/>
    </row>
    <row r="37" spans="1:13" ht="14.25" customHeight="1">
      <c r="A37" s="20" t="s">
        <v>27</v>
      </c>
      <c r="B37" s="21">
        <f>'Mini Maternal B'!F8</f>
        <v>0.95</v>
      </c>
      <c r="C37" s="26">
        <f>'Mini Maternal B'!J29</f>
        <v>0</v>
      </c>
      <c r="D37" s="474"/>
      <c r="E37" s="475"/>
      <c r="F37" s="476"/>
      <c r="H37" s="20" t="s">
        <v>27</v>
      </c>
      <c r="I37" s="23">
        <f>'Mini Maternal B'!F13</f>
        <v>0</v>
      </c>
      <c r="J37" s="26">
        <f>'Mini Maternal B'!J13</f>
        <v>0</v>
      </c>
      <c r="K37" s="474"/>
      <c r="L37" s="475"/>
      <c r="M37" s="476"/>
    </row>
    <row r="38" spans="1:13" ht="14.25" customHeight="1">
      <c r="A38" s="20" t="s">
        <v>28</v>
      </c>
      <c r="B38" s="21">
        <f>'Mini Maternal B'!G8</f>
        <v>17.72853185595568</v>
      </c>
      <c r="C38" s="26">
        <f>'Mini Maternal B'!H29</f>
        <v>0</v>
      </c>
      <c r="D38" s="477"/>
      <c r="E38" s="478"/>
      <c r="F38" s="479"/>
      <c r="H38" s="20" t="s">
        <v>28</v>
      </c>
      <c r="I38" s="21" t="e">
        <f>'Mini Maternal B'!G13</f>
        <v>#DIV/0!</v>
      </c>
      <c r="J38" s="26">
        <f>'Mini Maternal B'!H13</f>
        <v>0</v>
      </c>
      <c r="K38" s="477"/>
      <c r="L38" s="478"/>
      <c r="M38" s="479"/>
    </row>
    <row r="39" spans="1:13" ht="29.4" customHeight="1">
      <c r="A39" s="24" t="s">
        <v>30</v>
      </c>
      <c r="B39" s="480" t="str">
        <f>'Mini Maternal B'!K8</f>
        <v>SOBREPESO</v>
      </c>
      <c r="C39" s="481"/>
      <c r="D39" s="481"/>
      <c r="E39" s="481"/>
      <c r="F39" s="482"/>
      <c r="H39" s="24" t="s">
        <v>30</v>
      </c>
      <c r="I39" s="480">
        <f>'Mini Maternal B'!K13</f>
        <v>0</v>
      </c>
      <c r="J39" s="481"/>
      <c r="K39" s="481"/>
      <c r="L39" s="481"/>
      <c r="M39" s="482"/>
    </row>
    <row r="40" spans="1:13" ht="14.25" customHeight="1" thickBot="1"/>
    <row r="41" spans="1:13" ht="14.25" customHeight="1">
      <c r="H41" s="13" t="s">
        <v>21</v>
      </c>
      <c r="I41" s="487" t="str">
        <f>'Mini Maternal B'!A14</f>
        <v>Valentina Travagini Garcia</v>
      </c>
      <c r="J41" s="485"/>
      <c r="K41" s="486"/>
      <c r="L41" s="14" t="s">
        <v>22</v>
      </c>
      <c r="M41" s="15">
        <f>'Mini Maternal B'!B14</f>
        <v>44813</v>
      </c>
    </row>
    <row r="42" spans="1:13" ht="14.25" customHeight="1">
      <c r="H42" s="466" t="s">
        <v>23</v>
      </c>
      <c r="I42" s="467"/>
      <c r="J42" s="467"/>
      <c r="K42" s="467"/>
      <c r="L42" s="467"/>
      <c r="M42" s="468"/>
    </row>
    <row r="43" spans="1:13" ht="14.25" customHeight="1">
      <c r="H43" s="16" t="s">
        <v>24</v>
      </c>
      <c r="I43" s="17">
        <f>'Mini Maternal B'!C14</f>
        <v>45729</v>
      </c>
      <c r="J43" s="18" t="s">
        <v>25</v>
      </c>
      <c r="K43" s="469" t="s">
        <v>26</v>
      </c>
      <c r="L43" s="470"/>
      <c r="M43" s="19" t="str">
        <f>'Mini Maternal B'!D14</f>
        <v>2a 6m</v>
      </c>
    </row>
    <row r="44" spans="1:13" ht="14.25" customHeight="1">
      <c r="H44" s="20" t="s">
        <v>3</v>
      </c>
      <c r="I44" s="23">
        <f>'Mini Maternal B'!E14</f>
        <v>12.6</v>
      </c>
      <c r="J44" s="26" t="str">
        <f>'Mini Maternal B'!I14</f>
        <v>25-50</v>
      </c>
      <c r="K44" s="483"/>
      <c r="L44" s="472"/>
      <c r="M44" s="473"/>
    </row>
    <row r="45" spans="1:13" ht="14.25" customHeight="1">
      <c r="H45" s="20" t="s">
        <v>27</v>
      </c>
      <c r="I45" s="23">
        <f>'Mini Maternal B'!F14</f>
        <v>0.89</v>
      </c>
      <c r="J45" s="26" t="str">
        <f>'Mini Maternal B'!J14</f>
        <v>25-50</v>
      </c>
      <c r="K45" s="474"/>
      <c r="L45" s="475"/>
      <c r="M45" s="476"/>
    </row>
    <row r="46" spans="1:13" ht="14.25" customHeight="1">
      <c r="H46" s="20" t="s">
        <v>28</v>
      </c>
      <c r="I46" s="21">
        <f>'Mini Maternal B'!G14</f>
        <v>15.907082439085974</v>
      </c>
      <c r="J46" s="26" t="str">
        <f>'Mini Maternal B'!H14</f>
        <v>50-75</v>
      </c>
      <c r="K46" s="477"/>
      <c r="L46" s="478"/>
      <c r="M46" s="479"/>
    </row>
    <row r="47" spans="1:13" ht="36.6" customHeight="1" thickBot="1">
      <c r="H47" s="24" t="s">
        <v>30</v>
      </c>
      <c r="I47" s="480" t="str">
        <f>'Mini Maternal B'!K14</f>
        <v>ADEQUADO</v>
      </c>
      <c r="J47" s="481"/>
      <c r="K47" s="481"/>
      <c r="L47" s="481"/>
      <c r="M47" s="482"/>
    </row>
    <row r="48" spans="1:13" ht="14.25" customHeight="1" thickBot="1"/>
    <row r="49" spans="8:13" ht="14.25" customHeight="1">
      <c r="H49" s="13" t="s">
        <v>21</v>
      </c>
      <c r="I49" s="487" t="str">
        <f>'Mini Maternal B'!A15</f>
        <v>Vitor Lima Rodarte</v>
      </c>
      <c r="J49" s="485"/>
      <c r="K49" s="486"/>
      <c r="L49" s="14" t="s">
        <v>22</v>
      </c>
      <c r="M49" s="15" t="str">
        <f>'Mini Maternal B'!B15</f>
        <v xml:space="preserve"> 09/12/2022</v>
      </c>
    </row>
    <row r="50" spans="8:13" ht="14.25" customHeight="1">
      <c r="H50" s="466" t="s">
        <v>23</v>
      </c>
      <c r="I50" s="467"/>
      <c r="J50" s="467"/>
      <c r="K50" s="467"/>
      <c r="L50" s="467"/>
      <c r="M50" s="468"/>
    </row>
    <row r="51" spans="8:13" ht="14.25" customHeight="1">
      <c r="H51" s="16" t="s">
        <v>24</v>
      </c>
      <c r="I51" s="17">
        <f>'Mini Maternal B'!C15</f>
        <v>45729</v>
      </c>
      <c r="J51" s="18" t="s">
        <v>25</v>
      </c>
      <c r="K51" s="469" t="s">
        <v>26</v>
      </c>
      <c r="L51" s="470"/>
      <c r="M51" s="19" t="str">
        <f>'Mini Maternal B'!D15</f>
        <v>2a 3m</v>
      </c>
    </row>
    <row r="52" spans="8:13" ht="14.25" customHeight="1">
      <c r="H52" s="20" t="s">
        <v>3</v>
      </c>
      <c r="I52" s="23">
        <f>'Mini Maternal B'!E15</f>
        <v>12.8</v>
      </c>
      <c r="J52" s="26" t="str">
        <f>'Mini Maternal B'!I15</f>
        <v>50-75</v>
      </c>
      <c r="K52" s="483"/>
      <c r="L52" s="472"/>
      <c r="M52" s="473"/>
    </row>
    <row r="53" spans="8:13" ht="14.25" customHeight="1">
      <c r="H53" s="20" t="s">
        <v>27</v>
      </c>
      <c r="I53" s="23">
        <f>'Mini Maternal B'!F15</f>
        <v>0.92</v>
      </c>
      <c r="J53" s="26" t="str">
        <f>'Mini Maternal B'!J15</f>
        <v>75-85</v>
      </c>
      <c r="K53" s="474"/>
      <c r="L53" s="475"/>
      <c r="M53" s="476"/>
    </row>
    <row r="54" spans="8:13" ht="14.25" customHeight="1">
      <c r="H54" s="20" t="s">
        <v>28</v>
      </c>
      <c r="I54" s="21">
        <f>'Mini Maternal B'!G15</f>
        <v>15.122873345935728</v>
      </c>
      <c r="J54" s="26">
        <f>'Mini Maternal B'!H15</f>
        <v>25</v>
      </c>
      <c r="K54" s="477"/>
      <c r="L54" s="478"/>
      <c r="M54" s="479"/>
    </row>
    <row r="55" spans="8:13" ht="31.8" customHeight="1" thickBot="1">
      <c r="H55" s="24" t="s">
        <v>30</v>
      </c>
      <c r="I55" s="480" t="str">
        <f>'Mini Maternal B'!K15</f>
        <v>ADEQUADO</v>
      </c>
      <c r="J55" s="481"/>
      <c r="K55" s="481"/>
      <c r="L55" s="481"/>
      <c r="M55" s="482"/>
    </row>
    <row r="56" spans="8:13" ht="14.25" customHeight="1"/>
    <row r="57" spans="8:13" ht="14.25" customHeight="1"/>
    <row r="58" spans="8:13" ht="14.25" customHeight="1"/>
    <row r="59" spans="8:13" ht="14.25" customHeight="1"/>
    <row r="60" spans="8:13" ht="14.25" customHeight="1"/>
    <row r="61" spans="8:13" ht="14.25" customHeight="1"/>
    <row r="62" spans="8:13" ht="14.25" customHeight="1"/>
    <row r="63" spans="8:13" ht="14.25" customHeight="1"/>
    <row r="64" spans="8:1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B1:D1"/>
    <mergeCell ref="I1:K1"/>
    <mergeCell ref="A2:F2"/>
    <mergeCell ref="H2:M2"/>
    <mergeCell ref="D3:E3"/>
    <mergeCell ref="K3:L3"/>
    <mergeCell ref="K4:M6"/>
    <mergeCell ref="D4:F6"/>
    <mergeCell ref="B7:F7"/>
    <mergeCell ref="B9:D9"/>
    <mergeCell ref="A10:F10"/>
    <mergeCell ref="D11:E11"/>
    <mergeCell ref="D12:F14"/>
    <mergeCell ref="B15:F15"/>
    <mergeCell ref="I7:M7"/>
    <mergeCell ref="I9:K9"/>
    <mergeCell ref="H10:M10"/>
    <mergeCell ref="K11:L11"/>
    <mergeCell ref="K12:M14"/>
    <mergeCell ref="I15:M15"/>
    <mergeCell ref="I17:K17"/>
    <mergeCell ref="D27:E27"/>
    <mergeCell ref="D28:F30"/>
    <mergeCell ref="B31:F31"/>
    <mergeCell ref="B33:D33"/>
    <mergeCell ref="K28:M30"/>
    <mergeCell ref="I31:M31"/>
    <mergeCell ref="I33:K33"/>
    <mergeCell ref="A34:F34"/>
    <mergeCell ref="D35:E35"/>
    <mergeCell ref="D36:F38"/>
    <mergeCell ref="B39:F39"/>
    <mergeCell ref="B17:D17"/>
    <mergeCell ref="A18:F18"/>
    <mergeCell ref="D19:E19"/>
    <mergeCell ref="D20:F22"/>
    <mergeCell ref="B23:F23"/>
    <mergeCell ref="B25:D25"/>
    <mergeCell ref="A26:F26"/>
    <mergeCell ref="H34:M34"/>
    <mergeCell ref="K35:L35"/>
    <mergeCell ref="K36:M38"/>
    <mergeCell ref="I39:M39"/>
    <mergeCell ref="H18:M18"/>
    <mergeCell ref="K19:L19"/>
    <mergeCell ref="K20:M22"/>
    <mergeCell ref="I23:M23"/>
    <mergeCell ref="I25:K25"/>
    <mergeCell ref="H26:M26"/>
    <mergeCell ref="K27:L27"/>
    <mergeCell ref="I41:K41"/>
    <mergeCell ref="H42:M42"/>
    <mergeCell ref="K43:L43"/>
    <mergeCell ref="K44:M46"/>
    <mergeCell ref="I47:M47"/>
    <mergeCell ref="I49:K49"/>
    <mergeCell ref="H50:M50"/>
    <mergeCell ref="K51:L51"/>
    <mergeCell ref="K52:M54"/>
    <mergeCell ref="I55:M55"/>
  </mergeCells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14"/>
  <sheetViews>
    <sheetView topLeftCell="A10" workbookViewId="0">
      <selection sqref="A1:K13"/>
    </sheetView>
  </sheetViews>
  <sheetFormatPr defaultColWidth="14.44140625" defaultRowHeight="15" customHeight="1"/>
  <cols>
    <col min="1" max="1" width="23.44140625" customWidth="1"/>
    <col min="2" max="2" width="10.5546875" customWidth="1"/>
    <col min="3" max="3" width="11.33203125" customWidth="1"/>
    <col min="4" max="5" width="7.6640625" customWidth="1"/>
    <col min="6" max="6" width="8" customWidth="1"/>
    <col min="7" max="7" width="9.5546875" customWidth="1"/>
    <col min="8" max="8" width="7" customWidth="1"/>
    <col min="9" max="9" width="6.88671875" customWidth="1"/>
    <col min="10" max="10" width="5.6640625" customWidth="1"/>
    <col min="11" max="11" width="17" customWidth="1"/>
    <col min="12" max="12" width="4.5546875" customWidth="1"/>
    <col min="14" max="14" width="9.33203125" customWidth="1"/>
    <col min="15" max="15" width="8.5546875" customWidth="1"/>
  </cols>
  <sheetData>
    <row r="1" spans="1:15" ht="14.4">
      <c r="A1" s="489" t="s">
        <v>192</v>
      </c>
      <c r="B1" s="490"/>
      <c r="C1" s="490"/>
      <c r="D1" s="490"/>
      <c r="E1" s="490"/>
      <c r="F1" s="490"/>
      <c r="G1" s="490"/>
      <c r="H1" s="490"/>
      <c r="I1" s="490"/>
      <c r="J1" s="491"/>
      <c r="K1" s="1"/>
      <c r="L1" s="1"/>
      <c r="M1" s="1"/>
      <c r="N1" s="1"/>
      <c r="O1" s="1"/>
    </row>
    <row r="2" spans="1:15" ht="14.4">
      <c r="A2" s="2"/>
      <c r="B2" s="3"/>
      <c r="C2" s="3"/>
      <c r="D2" s="3"/>
      <c r="E2" s="3"/>
      <c r="F2" s="3"/>
      <c r="G2" s="3"/>
      <c r="H2" s="3"/>
      <c r="I2" s="3"/>
      <c r="J2" s="4"/>
      <c r="K2" s="42"/>
      <c r="L2" s="1"/>
      <c r="M2" s="1"/>
      <c r="N2" s="1"/>
      <c r="O2" s="1"/>
    </row>
    <row r="3" spans="1:15" ht="28.8">
      <c r="A3" s="5"/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527" t="s">
        <v>9</v>
      </c>
      <c r="L3" s="44"/>
      <c r="M3" s="8"/>
      <c r="N3" s="8" t="s">
        <v>10</v>
      </c>
      <c r="O3" s="8" t="s">
        <v>11</v>
      </c>
    </row>
    <row r="4" spans="1:15" ht="14.4">
      <c r="A4" s="311" t="s">
        <v>62</v>
      </c>
      <c r="B4" s="312">
        <v>44489</v>
      </c>
      <c r="C4" s="220">
        <v>45729</v>
      </c>
      <c r="D4" s="313" t="s">
        <v>239</v>
      </c>
      <c r="E4" s="314">
        <v>15</v>
      </c>
      <c r="F4" s="313">
        <v>0.96</v>
      </c>
      <c r="G4" s="315">
        <f t="shared" ref="G4:G12" si="0">E4/(F4*F4)</f>
        <v>16.276041666666668</v>
      </c>
      <c r="H4" s="316">
        <v>75</v>
      </c>
      <c r="I4" s="316" t="s">
        <v>275</v>
      </c>
      <c r="J4" s="316" t="s">
        <v>274</v>
      </c>
      <c r="K4" s="317" t="s">
        <v>290</v>
      </c>
      <c r="L4" s="45"/>
      <c r="M4" s="29" t="s">
        <v>12</v>
      </c>
      <c r="N4" s="8"/>
      <c r="O4" s="8"/>
    </row>
    <row r="5" spans="1:15" ht="14.4">
      <c r="A5" s="307" t="s">
        <v>189</v>
      </c>
      <c r="B5" s="300">
        <v>44418</v>
      </c>
      <c r="C5" s="244">
        <v>45729</v>
      </c>
      <c r="D5" s="309" t="s">
        <v>240</v>
      </c>
      <c r="E5" s="309">
        <v>18.100000000000001</v>
      </c>
      <c r="F5" s="309">
        <v>1.03</v>
      </c>
      <c r="G5" s="301">
        <f t="shared" si="0"/>
        <v>17.060985955320955</v>
      </c>
      <c r="H5" s="298" t="s">
        <v>271</v>
      </c>
      <c r="I5" s="298" t="s">
        <v>271</v>
      </c>
      <c r="J5" s="298" t="s">
        <v>275</v>
      </c>
      <c r="K5" s="159" t="s">
        <v>288</v>
      </c>
      <c r="L5" s="45"/>
      <c r="M5" s="29" t="s">
        <v>13</v>
      </c>
      <c r="N5" s="8">
        <v>1</v>
      </c>
      <c r="O5" s="8">
        <v>2</v>
      </c>
    </row>
    <row r="6" spans="1:15" ht="14.4">
      <c r="A6" s="436" t="s">
        <v>63</v>
      </c>
      <c r="B6" s="408">
        <v>44649</v>
      </c>
      <c r="C6" s="409"/>
      <c r="D6" s="439"/>
      <c r="E6" s="439"/>
      <c r="F6" s="439"/>
      <c r="G6" s="443" t="e">
        <f t="shared" si="0"/>
        <v>#DIV/0!</v>
      </c>
      <c r="H6" s="444"/>
      <c r="I6" s="444"/>
      <c r="J6" s="445"/>
      <c r="K6" s="446"/>
      <c r="L6" s="45"/>
      <c r="M6" s="29" t="s">
        <v>15</v>
      </c>
      <c r="N6" s="8"/>
      <c r="O6" s="8">
        <v>2</v>
      </c>
    </row>
    <row r="7" spans="1:15" ht="14.4">
      <c r="A7" s="447" t="s">
        <v>190</v>
      </c>
      <c r="B7" s="448">
        <v>44504</v>
      </c>
      <c r="C7" s="409"/>
      <c r="D7" s="432"/>
      <c r="E7" s="432"/>
      <c r="F7" s="432"/>
      <c r="G7" s="449" t="e">
        <f t="shared" si="0"/>
        <v>#DIV/0!</v>
      </c>
      <c r="H7" s="450"/>
      <c r="I7" s="450"/>
      <c r="J7" s="450"/>
      <c r="K7" s="451"/>
      <c r="L7" s="1"/>
      <c r="M7" s="29" t="s">
        <v>17</v>
      </c>
      <c r="N7" s="8"/>
      <c r="O7" s="8"/>
    </row>
    <row r="8" spans="1:15" ht="14.4">
      <c r="A8" s="436" t="s">
        <v>64</v>
      </c>
      <c r="B8" s="408">
        <v>44455</v>
      </c>
      <c r="C8" s="409"/>
      <c r="D8" s="439"/>
      <c r="E8" s="439"/>
      <c r="F8" s="439"/>
      <c r="G8" s="443" t="e">
        <f t="shared" si="0"/>
        <v>#DIV/0!</v>
      </c>
      <c r="H8" s="452"/>
      <c r="I8" s="452"/>
      <c r="J8" s="452"/>
      <c r="K8" s="453"/>
      <c r="L8" s="1"/>
      <c r="M8" s="29" t="s">
        <v>18</v>
      </c>
      <c r="N8" s="8">
        <f>SUM(N5:N7)</f>
        <v>1</v>
      </c>
      <c r="O8" s="8">
        <f>SUM(O5:O7)</f>
        <v>4</v>
      </c>
    </row>
    <row r="9" spans="1:15" ht="14.4">
      <c r="A9" s="454" t="s">
        <v>147</v>
      </c>
      <c r="B9" s="448">
        <v>44596</v>
      </c>
      <c r="C9" s="409"/>
      <c r="D9" s="432"/>
      <c r="E9" s="432"/>
      <c r="F9" s="432"/>
      <c r="G9" s="449" t="e">
        <f t="shared" si="0"/>
        <v>#DIV/0!</v>
      </c>
      <c r="H9" s="455"/>
      <c r="I9" s="455"/>
      <c r="J9" s="455"/>
      <c r="K9" s="456"/>
      <c r="L9" s="1"/>
      <c r="M9" s="29" t="s">
        <v>19</v>
      </c>
      <c r="N9" s="198"/>
      <c r="O9" s="194">
        <f>SUM(N8:O8)</f>
        <v>5</v>
      </c>
    </row>
    <row r="10" spans="1:15" ht="14.4">
      <c r="A10" s="307" t="s">
        <v>191</v>
      </c>
      <c r="B10" s="300">
        <v>44495</v>
      </c>
      <c r="C10" s="244">
        <v>45729</v>
      </c>
      <c r="D10" s="309" t="s">
        <v>239</v>
      </c>
      <c r="E10" s="309">
        <v>15.4</v>
      </c>
      <c r="F10" s="309">
        <v>0.98</v>
      </c>
      <c r="G10" s="304">
        <f t="shared" si="0"/>
        <v>16.034985422740526</v>
      </c>
      <c r="H10" s="302" t="s">
        <v>275</v>
      </c>
      <c r="I10" s="302" t="s">
        <v>275</v>
      </c>
      <c r="J10" s="302" t="s">
        <v>274</v>
      </c>
      <c r="K10" s="303" t="s">
        <v>290</v>
      </c>
      <c r="L10" s="1"/>
    </row>
    <row r="11" spans="1:15" ht="14.4">
      <c r="A11" s="447" t="s">
        <v>65</v>
      </c>
      <c r="B11" s="448">
        <v>44377</v>
      </c>
      <c r="C11" s="417"/>
      <c r="D11" s="432"/>
      <c r="E11" s="432"/>
      <c r="F11" s="432"/>
      <c r="G11" s="449" t="e">
        <f t="shared" si="0"/>
        <v>#DIV/0!</v>
      </c>
      <c r="H11" s="450"/>
      <c r="I11" s="450"/>
      <c r="J11" s="450"/>
      <c r="K11" s="451"/>
      <c r="L11" s="28"/>
      <c r="M11" s="51"/>
      <c r="N11" s="52"/>
      <c r="O11" s="52"/>
    </row>
    <row r="12" spans="1:15" ht="14.4">
      <c r="A12" s="307" t="s">
        <v>66</v>
      </c>
      <c r="B12" s="300">
        <v>44398</v>
      </c>
      <c r="C12" s="244">
        <v>45729</v>
      </c>
      <c r="D12" s="310" t="s">
        <v>240</v>
      </c>
      <c r="E12" s="309">
        <v>17.899999999999999</v>
      </c>
      <c r="F12" s="310">
        <v>1</v>
      </c>
      <c r="G12" s="158">
        <f t="shared" si="0"/>
        <v>17.899999999999999</v>
      </c>
      <c r="H12" s="160" t="s">
        <v>277</v>
      </c>
      <c r="I12" s="160" t="s">
        <v>271</v>
      </c>
      <c r="J12" s="160" t="s">
        <v>274</v>
      </c>
      <c r="K12" s="299" t="s">
        <v>288</v>
      </c>
      <c r="L12" s="28"/>
      <c r="M12" s="51"/>
      <c r="N12" s="52"/>
      <c r="O12" s="52"/>
    </row>
    <row r="13" spans="1:15" ht="14.4">
      <c r="A13" s="307" t="s">
        <v>67</v>
      </c>
      <c r="B13" s="300">
        <v>44605</v>
      </c>
      <c r="C13" s="244">
        <v>45729</v>
      </c>
      <c r="D13" s="309" t="s">
        <v>241</v>
      </c>
      <c r="E13" s="309">
        <v>12.6</v>
      </c>
      <c r="F13" s="309">
        <v>0.92</v>
      </c>
      <c r="G13" s="158">
        <f>E13/(F13*F13)</f>
        <v>14.88657844990548</v>
      </c>
      <c r="H13" s="160" t="s">
        <v>274</v>
      </c>
      <c r="I13" s="160" t="s">
        <v>273</v>
      </c>
      <c r="J13" s="160" t="s">
        <v>273</v>
      </c>
      <c r="K13" s="299" t="s">
        <v>290</v>
      </c>
      <c r="L13" s="28"/>
      <c r="M13" s="51"/>
      <c r="N13" s="52"/>
      <c r="O13" s="52"/>
    </row>
    <row r="14" spans="1:15" ht="15" customHeight="1">
      <c r="A14" s="308"/>
      <c r="B14" s="305"/>
      <c r="C14" s="157"/>
      <c r="D14" s="304"/>
      <c r="E14" s="306"/>
      <c r="F14" s="306"/>
      <c r="G14" s="304"/>
      <c r="H14" s="302"/>
      <c r="I14" s="302"/>
      <c r="J14" s="302"/>
      <c r="K14" s="303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0FD8C-19DE-403A-A900-D0796E3AF412}">
  <dimension ref="A1:M1000"/>
  <sheetViews>
    <sheetView topLeftCell="A21" workbookViewId="0">
      <selection activeCell="H41" sqref="H41:M47"/>
    </sheetView>
  </sheetViews>
  <sheetFormatPr defaultColWidth="14.44140625" defaultRowHeight="14.4"/>
  <cols>
    <col min="1" max="1" width="11.33203125" customWidth="1"/>
    <col min="2" max="2" width="10.6640625" customWidth="1"/>
    <col min="3" max="3" width="8.6640625" customWidth="1"/>
    <col min="4" max="4" width="6.5546875" customWidth="1"/>
    <col min="5" max="5" width="5.33203125" customWidth="1"/>
    <col min="6" max="6" width="10.6640625" customWidth="1"/>
    <col min="7" max="7" width="3.44140625" customWidth="1"/>
    <col min="8" max="8" width="11.33203125" customWidth="1"/>
    <col min="9" max="9" width="10.6640625" customWidth="1"/>
    <col min="10" max="11" width="8.6640625" customWidth="1"/>
    <col min="12" max="12" width="4.88671875" customWidth="1"/>
    <col min="13" max="13" width="10.77734375" bestFit="1" customWidth="1"/>
    <col min="14" max="26" width="8.6640625" customWidth="1"/>
  </cols>
  <sheetData>
    <row r="1" spans="1:13" ht="14.25" customHeight="1">
      <c r="A1" s="13" t="s">
        <v>21</v>
      </c>
      <c r="B1" s="487" t="str">
        <f>'Maternal A '!A4</f>
        <v>Beatriz Tanahashi Pereira</v>
      </c>
      <c r="C1" s="485"/>
      <c r="D1" s="486"/>
      <c r="E1" s="14" t="s">
        <v>22</v>
      </c>
      <c r="F1" s="15">
        <f>'Maternal A '!B4</f>
        <v>44489</v>
      </c>
      <c r="H1" s="13" t="s">
        <v>21</v>
      </c>
      <c r="I1" s="484" t="str">
        <f>'Maternal A '!A9</f>
        <v>João Hideki Aoyama Ota</v>
      </c>
      <c r="J1" s="485"/>
      <c r="K1" s="486"/>
      <c r="L1" s="14" t="s">
        <v>22</v>
      </c>
      <c r="M1" s="15">
        <f>'Maternal A '!B9</f>
        <v>44596</v>
      </c>
    </row>
    <row r="2" spans="1:13" ht="14.25" customHeight="1">
      <c r="A2" s="466" t="s">
        <v>23</v>
      </c>
      <c r="B2" s="467"/>
      <c r="C2" s="467"/>
      <c r="D2" s="467"/>
      <c r="E2" s="467"/>
      <c r="F2" s="468"/>
      <c r="H2" s="466" t="s">
        <v>23</v>
      </c>
      <c r="I2" s="467"/>
      <c r="J2" s="467"/>
      <c r="K2" s="467"/>
      <c r="L2" s="467"/>
      <c r="M2" s="468"/>
    </row>
    <row r="3" spans="1:13" ht="14.25" customHeight="1">
      <c r="A3" s="16" t="s">
        <v>24</v>
      </c>
      <c r="B3" s="17">
        <f>'Maternal A '!C4</f>
        <v>45729</v>
      </c>
      <c r="C3" s="18" t="s">
        <v>25</v>
      </c>
      <c r="D3" s="469" t="s">
        <v>26</v>
      </c>
      <c r="E3" s="470"/>
      <c r="F3" s="19" t="str">
        <f>'Maternal A '!D4</f>
        <v>3a 4m</v>
      </c>
      <c r="H3" s="16" t="s">
        <v>24</v>
      </c>
      <c r="I3" s="17">
        <f>'Maternal A '!C9</f>
        <v>0</v>
      </c>
      <c r="J3" s="18" t="s">
        <v>25</v>
      </c>
      <c r="K3" s="469" t="s">
        <v>26</v>
      </c>
      <c r="L3" s="470"/>
      <c r="M3" s="19">
        <f>'Maternal A '!D9</f>
        <v>0</v>
      </c>
    </row>
    <row r="4" spans="1:13" ht="14.25" customHeight="1">
      <c r="A4" s="20" t="s">
        <v>3</v>
      </c>
      <c r="B4" s="23">
        <f>'Maternal A '!E4</f>
        <v>15</v>
      </c>
      <c r="C4" s="27" t="str">
        <f>'Maternal A '!I4</f>
        <v>50-75</v>
      </c>
      <c r="D4" s="471"/>
      <c r="E4" s="472"/>
      <c r="F4" s="473"/>
      <c r="H4" s="20" t="s">
        <v>3</v>
      </c>
      <c r="I4" s="23">
        <f>'Maternal A '!E9</f>
        <v>0</v>
      </c>
      <c r="J4" s="27">
        <f>'Maternal A '!I9</f>
        <v>0</v>
      </c>
      <c r="K4" s="483"/>
      <c r="L4" s="472"/>
      <c r="M4" s="473"/>
    </row>
    <row r="5" spans="1:13" ht="14.25" customHeight="1">
      <c r="A5" s="20" t="s">
        <v>27</v>
      </c>
      <c r="B5" s="21">
        <f>'Maternal A '!F4</f>
        <v>0.96</v>
      </c>
      <c r="C5" s="23" t="str">
        <f>'Maternal A '!J4</f>
        <v>25-50</v>
      </c>
      <c r="D5" s="474"/>
      <c r="E5" s="475"/>
      <c r="F5" s="476"/>
      <c r="H5" s="20" t="s">
        <v>27</v>
      </c>
      <c r="I5" s="23">
        <f>'Maternal A '!F9</f>
        <v>0</v>
      </c>
      <c r="J5" s="26">
        <f>'Maternal A '!J9</f>
        <v>0</v>
      </c>
      <c r="K5" s="474"/>
      <c r="L5" s="475"/>
      <c r="M5" s="476"/>
    </row>
    <row r="6" spans="1:13" ht="14.25" customHeight="1">
      <c r="A6" s="20" t="s">
        <v>28</v>
      </c>
      <c r="B6" s="21">
        <f>'Maternal A '!G4</f>
        <v>16.276041666666668</v>
      </c>
      <c r="C6" s="53">
        <f>'Maternal A '!H4</f>
        <v>75</v>
      </c>
      <c r="D6" s="477"/>
      <c r="E6" s="478"/>
      <c r="F6" s="479"/>
      <c r="H6" s="20" t="s">
        <v>28</v>
      </c>
      <c r="I6" s="21" t="e">
        <f>'Maternal A '!G9</f>
        <v>#DIV/0!</v>
      </c>
      <c r="J6" s="26">
        <f>'Maternal A '!H9</f>
        <v>0</v>
      </c>
      <c r="K6" s="477"/>
      <c r="L6" s="478"/>
      <c r="M6" s="479"/>
    </row>
    <row r="7" spans="1:13" ht="29.4" thickBot="1">
      <c r="A7" s="24" t="s">
        <v>30</v>
      </c>
      <c r="B7" s="480" t="str">
        <f>'Maternal A '!K4</f>
        <v>ADEQUADO</v>
      </c>
      <c r="C7" s="481"/>
      <c r="D7" s="481"/>
      <c r="E7" s="481"/>
      <c r="F7" s="482"/>
      <c r="H7" s="24" t="s">
        <v>30</v>
      </c>
      <c r="I7" s="480">
        <f>'Maternal A '!K9</f>
        <v>0</v>
      </c>
      <c r="J7" s="481"/>
      <c r="K7" s="481"/>
      <c r="L7" s="481"/>
      <c r="M7" s="482"/>
    </row>
    <row r="8" spans="1:13" ht="7.5" customHeight="1" thickBot="1"/>
    <row r="9" spans="1:13" ht="14.25" customHeight="1">
      <c r="A9" s="13" t="s">
        <v>21</v>
      </c>
      <c r="B9" s="487" t="str">
        <f>'Maternal A '!A5</f>
        <v>Bernardo Rolão M. de Lima</v>
      </c>
      <c r="C9" s="485"/>
      <c r="D9" s="486"/>
      <c r="E9" s="14" t="s">
        <v>22</v>
      </c>
      <c r="F9" s="15">
        <f>'Maternal A '!B5</f>
        <v>44418</v>
      </c>
      <c r="H9" s="13" t="s">
        <v>21</v>
      </c>
      <c r="I9" s="487" t="str">
        <f>'Maternal A '!A10</f>
        <v>João Pedro de M. Torres</v>
      </c>
      <c r="J9" s="485"/>
      <c r="K9" s="486"/>
      <c r="L9" s="14" t="s">
        <v>22</v>
      </c>
      <c r="M9" s="15">
        <f>'Maternal A '!B10</f>
        <v>44495</v>
      </c>
    </row>
    <row r="10" spans="1:13" ht="14.25" customHeight="1">
      <c r="A10" s="466" t="s">
        <v>23</v>
      </c>
      <c r="B10" s="467"/>
      <c r="C10" s="467"/>
      <c r="D10" s="467"/>
      <c r="E10" s="467"/>
      <c r="F10" s="468"/>
      <c r="H10" s="466" t="s">
        <v>23</v>
      </c>
      <c r="I10" s="467"/>
      <c r="J10" s="467"/>
      <c r="K10" s="467"/>
      <c r="L10" s="467"/>
      <c r="M10" s="468"/>
    </row>
    <row r="11" spans="1:13" ht="14.25" customHeight="1">
      <c r="A11" s="16" t="s">
        <v>24</v>
      </c>
      <c r="B11" s="17">
        <f>'Maternal A '!C5</f>
        <v>45729</v>
      </c>
      <c r="C11" s="18" t="s">
        <v>25</v>
      </c>
      <c r="D11" s="469" t="s">
        <v>26</v>
      </c>
      <c r="E11" s="470"/>
      <c r="F11" s="19" t="str">
        <f>'Maternal A '!D5</f>
        <v>3a 7m</v>
      </c>
      <c r="H11" s="16" t="s">
        <v>24</v>
      </c>
      <c r="I11" s="17">
        <f>'Maternal A '!C10</f>
        <v>45729</v>
      </c>
      <c r="J11" s="18" t="s">
        <v>25</v>
      </c>
      <c r="K11" s="469" t="s">
        <v>26</v>
      </c>
      <c r="L11" s="470"/>
      <c r="M11" s="19" t="str">
        <f>'Maternal A '!D10</f>
        <v>3a 4m</v>
      </c>
    </row>
    <row r="12" spans="1:13" ht="14.25" customHeight="1">
      <c r="A12" s="20" t="s">
        <v>3</v>
      </c>
      <c r="B12" s="23">
        <f>'Maternal A '!E5</f>
        <v>18.100000000000001</v>
      </c>
      <c r="C12" s="27" t="str">
        <f>'Maternal A '!I5</f>
        <v>85-95</v>
      </c>
      <c r="D12" s="471"/>
      <c r="E12" s="472"/>
      <c r="F12" s="473"/>
      <c r="H12" s="20" t="s">
        <v>3</v>
      </c>
      <c r="I12" s="23">
        <f>'Maternal A '!E10</f>
        <v>15.4</v>
      </c>
      <c r="J12" s="27" t="str">
        <f>'Maternal A '!I10</f>
        <v>50-75</v>
      </c>
      <c r="K12" s="483"/>
      <c r="L12" s="472"/>
      <c r="M12" s="473"/>
    </row>
    <row r="13" spans="1:13" ht="14.25" customHeight="1">
      <c r="A13" s="20" t="s">
        <v>27</v>
      </c>
      <c r="B13" s="21">
        <f>'Maternal A '!F5</f>
        <v>1.03</v>
      </c>
      <c r="C13" s="26" t="str">
        <f>'Maternal A '!J5</f>
        <v>50-75</v>
      </c>
      <c r="D13" s="474"/>
      <c r="E13" s="475"/>
      <c r="F13" s="476"/>
      <c r="H13" s="20" t="s">
        <v>27</v>
      </c>
      <c r="I13" s="23">
        <f>'Maternal A '!F10</f>
        <v>0.98</v>
      </c>
      <c r="J13" s="26" t="str">
        <f>'Maternal A '!J10</f>
        <v>25-50</v>
      </c>
      <c r="K13" s="474"/>
      <c r="L13" s="475"/>
      <c r="M13" s="476"/>
    </row>
    <row r="14" spans="1:13" ht="14.25" customHeight="1">
      <c r="A14" s="20" t="s">
        <v>28</v>
      </c>
      <c r="B14" s="21">
        <f>'Maternal A '!G5</f>
        <v>17.060985955320955</v>
      </c>
      <c r="C14" s="53" t="str">
        <f>'Maternal A '!H5</f>
        <v>85-95</v>
      </c>
      <c r="D14" s="477"/>
      <c r="E14" s="478"/>
      <c r="F14" s="479"/>
      <c r="H14" s="20" t="s">
        <v>28</v>
      </c>
      <c r="I14" s="21">
        <f>'Maternal A '!G10</f>
        <v>16.034985422740526</v>
      </c>
      <c r="J14" s="26" t="str">
        <f>'Maternal A '!H10</f>
        <v>50-75</v>
      </c>
      <c r="K14" s="477"/>
      <c r="L14" s="478"/>
      <c r="M14" s="479"/>
    </row>
    <row r="15" spans="1:13" ht="14.25" customHeight="1" thickBot="1">
      <c r="A15" s="24" t="s">
        <v>30</v>
      </c>
      <c r="B15" s="480" t="str">
        <f>'Maternal A '!K5</f>
        <v>SOBREPESO</v>
      </c>
      <c r="C15" s="481"/>
      <c r="D15" s="481"/>
      <c r="E15" s="481"/>
      <c r="F15" s="482"/>
      <c r="H15" s="24" t="s">
        <v>30</v>
      </c>
      <c r="I15" s="480" t="str">
        <f>'Maternal A '!K10</f>
        <v>ADEQUADO</v>
      </c>
      <c r="J15" s="481"/>
      <c r="K15" s="481"/>
      <c r="L15" s="481"/>
      <c r="M15" s="482"/>
    </row>
    <row r="16" spans="1:13" ht="6" customHeight="1" thickBot="1"/>
    <row r="17" spans="1:13" ht="14.25" customHeight="1">
      <c r="A17" s="13" t="s">
        <v>21</v>
      </c>
      <c r="B17" s="487" t="str">
        <f>'Maternal A '!A6</f>
        <v>Catarina Saquete Rodrigues</v>
      </c>
      <c r="C17" s="485"/>
      <c r="D17" s="486"/>
      <c r="E17" s="14" t="s">
        <v>22</v>
      </c>
      <c r="F17" s="15">
        <f>'Maternal A '!B6</f>
        <v>44649</v>
      </c>
      <c r="H17" s="13" t="s">
        <v>21</v>
      </c>
      <c r="I17" s="487" t="str">
        <f>'Maternal A '!A11</f>
        <v>Leonardo Mônaco André</v>
      </c>
      <c r="J17" s="485"/>
      <c r="K17" s="486"/>
      <c r="L17" s="14" t="s">
        <v>22</v>
      </c>
      <c r="M17" s="15">
        <f>'Maternal A '!B11</f>
        <v>44377</v>
      </c>
    </row>
    <row r="18" spans="1:13" ht="14.25" customHeight="1">
      <c r="A18" s="466" t="s">
        <v>23</v>
      </c>
      <c r="B18" s="467"/>
      <c r="C18" s="467"/>
      <c r="D18" s="467"/>
      <c r="E18" s="467"/>
      <c r="F18" s="468"/>
      <c r="H18" s="466" t="s">
        <v>23</v>
      </c>
      <c r="I18" s="467"/>
      <c r="J18" s="467"/>
      <c r="K18" s="467"/>
      <c r="L18" s="467"/>
      <c r="M18" s="468"/>
    </row>
    <row r="19" spans="1:13" ht="14.25" customHeight="1">
      <c r="A19" s="16" t="s">
        <v>24</v>
      </c>
      <c r="B19" s="17">
        <f>'Maternal A '!C6</f>
        <v>0</v>
      </c>
      <c r="C19" s="18" t="s">
        <v>25</v>
      </c>
      <c r="D19" s="469" t="s">
        <v>26</v>
      </c>
      <c r="E19" s="470"/>
      <c r="F19" s="19">
        <f>'Maternal A '!D6</f>
        <v>0</v>
      </c>
      <c r="H19" s="16" t="s">
        <v>24</v>
      </c>
      <c r="I19" s="17">
        <f>'Maternal A '!C11</f>
        <v>0</v>
      </c>
      <c r="J19" s="18" t="s">
        <v>25</v>
      </c>
      <c r="K19" s="469" t="s">
        <v>26</v>
      </c>
      <c r="L19" s="470"/>
      <c r="M19" s="19">
        <f>'Maternal A '!D11</f>
        <v>0</v>
      </c>
    </row>
    <row r="20" spans="1:13" ht="14.25" customHeight="1">
      <c r="A20" s="20" t="s">
        <v>3</v>
      </c>
      <c r="B20" s="23">
        <f>'Maternal A '!E6</f>
        <v>0</v>
      </c>
      <c r="C20" s="27">
        <f>'Maternal A '!I6</f>
        <v>0</v>
      </c>
      <c r="D20" s="471"/>
      <c r="E20" s="472"/>
      <c r="F20" s="473"/>
      <c r="H20" s="20" t="s">
        <v>3</v>
      </c>
      <c r="I20" s="23">
        <f>'Maternal A '!E11</f>
        <v>0</v>
      </c>
      <c r="J20" s="27">
        <f>'Maternal A '!I11</f>
        <v>0</v>
      </c>
      <c r="K20" s="483"/>
      <c r="L20" s="472"/>
      <c r="M20" s="473"/>
    </row>
    <row r="21" spans="1:13" ht="14.25" customHeight="1">
      <c r="A21" s="20" t="s">
        <v>27</v>
      </c>
      <c r="B21" s="21">
        <f>'Maternal A '!F6</f>
        <v>0</v>
      </c>
      <c r="C21" s="23">
        <f>'Maternal A '!J6</f>
        <v>0</v>
      </c>
      <c r="D21" s="474"/>
      <c r="E21" s="475"/>
      <c r="F21" s="476"/>
      <c r="H21" s="20" t="s">
        <v>27</v>
      </c>
      <c r="I21" s="21">
        <f>'Maternal A '!F11</f>
        <v>0</v>
      </c>
      <c r="J21" s="26">
        <f>'Maternal A '!J11</f>
        <v>0</v>
      </c>
      <c r="K21" s="474"/>
      <c r="L21" s="475"/>
      <c r="M21" s="476"/>
    </row>
    <row r="22" spans="1:13" ht="14.25" customHeight="1">
      <c r="A22" s="20" t="s">
        <v>28</v>
      </c>
      <c r="B22" s="21" t="e">
        <f>'Maternal A '!G6</f>
        <v>#DIV/0!</v>
      </c>
      <c r="C22" s="53">
        <f>'Maternal A '!H6</f>
        <v>0</v>
      </c>
      <c r="D22" s="477"/>
      <c r="E22" s="478"/>
      <c r="F22" s="479"/>
      <c r="H22" s="20" t="s">
        <v>28</v>
      </c>
      <c r="I22" s="21" t="e">
        <f>'Maternal A '!G11</f>
        <v>#DIV/0!</v>
      </c>
      <c r="J22" s="26">
        <f>'Maternal A '!H11</f>
        <v>0</v>
      </c>
      <c r="K22" s="477"/>
      <c r="L22" s="478"/>
      <c r="M22" s="479"/>
    </row>
    <row r="23" spans="1:13" ht="14.25" customHeight="1" thickBot="1">
      <c r="A23" s="24" t="s">
        <v>30</v>
      </c>
      <c r="B23" s="480">
        <f>'Maternal A '!K6</f>
        <v>0</v>
      </c>
      <c r="C23" s="481"/>
      <c r="D23" s="481"/>
      <c r="E23" s="481"/>
      <c r="F23" s="482"/>
      <c r="H23" s="24" t="s">
        <v>30</v>
      </c>
      <c r="I23" s="480">
        <f>'Maternal A '!K11</f>
        <v>0</v>
      </c>
      <c r="J23" s="481"/>
      <c r="K23" s="481"/>
      <c r="L23" s="481"/>
      <c r="M23" s="482"/>
    </row>
    <row r="24" spans="1:13" ht="8.25" customHeight="1" thickBot="1"/>
    <row r="25" spans="1:13" ht="14.25" customHeight="1">
      <c r="A25" s="13" t="s">
        <v>21</v>
      </c>
      <c r="B25" s="487" t="str">
        <f>'Maternal A '!A7</f>
        <v>Gabriel P. Cappi Ferreira</v>
      </c>
      <c r="C25" s="485"/>
      <c r="D25" s="486"/>
      <c r="E25" s="14" t="s">
        <v>22</v>
      </c>
      <c r="F25" s="15">
        <f>'Maternal A '!B7</f>
        <v>44504</v>
      </c>
      <c r="H25" s="13" t="s">
        <v>21</v>
      </c>
      <c r="I25" s="487" t="str">
        <f>'Maternal A '!A12</f>
        <v>Luca Torres Borini</v>
      </c>
      <c r="J25" s="485"/>
      <c r="K25" s="486"/>
      <c r="L25" s="14" t="s">
        <v>22</v>
      </c>
      <c r="M25" s="15">
        <f>'Maternal A '!B12</f>
        <v>44398</v>
      </c>
    </row>
    <row r="26" spans="1:13" ht="14.25" customHeight="1">
      <c r="A26" s="466" t="s">
        <v>23</v>
      </c>
      <c r="B26" s="467"/>
      <c r="C26" s="467"/>
      <c r="D26" s="467"/>
      <c r="E26" s="467"/>
      <c r="F26" s="468"/>
      <c r="H26" s="466" t="s">
        <v>23</v>
      </c>
      <c r="I26" s="467"/>
      <c r="J26" s="467"/>
      <c r="K26" s="467"/>
      <c r="L26" s="467"/>
      <c r="M26" s="468"/>
    </row>
    <row r="27" spans="1:13" ht="14.25" customHeight="1">
      <c r="A27" s="16" t="s">
        <v>24</v>
      </c>
      <c r="B27" s="17">
        <f>'Maternal A '!C7</f>
        <v>0</v>
      </c>
      <c r="C27" s="18" t="s">
        <v>25</v>
      </c>
      <c r="D27" s="469" t="s">
        <v>26</v>
      </c>
      <c r="E27" s="470"/>
      <c r="F27" s="19">
        <f>'Maternal A '!D7</f>
        <v>0</v>
      </c>
      <c r="H27" s="16" t="s">
        <v>24</v>
      </c>
      <c r="I27" s="17">
        <f>'Maternal A '!C12</f>
        <v>45729</v>
      </c>
      <c r="J27" s="18" t="s">
        <v>25</v>
      </c>
      <c r="K27" s="469" t="s">
        <v>26</v>
      </c>
      <c r="L27" s="470"/>
      <c r="M27" s="19" t="str">
        <f>'Maternal A '!D12</f>
        <v>3a 7m</v>
      </c>
    </row>
    <row r="28" spans="1:13" ht="14.25" customHeight="1">
      <c r="A28" s="20" t="s">
        <v>3</v>
      </c>
      <c r="B28" s="23">
        <f>'Maternal A '!E7</f>
        <v>0</v>
      </c>
      <c r="C28" s="27">
        <f>'Maternal A '!I7</f>
        <v>0</v>
      </c>
      <c r="D28" s="471"/>
      <c r="E28" s="472"/>
      <c r="F28" s="473"/>
      <c r="H28" s="20" t="s">
        <v>3</v>
      </c>
      <c r="I28" s="23">
        <f>'Maternal A '!E12</f>
        <v>17.899999999999999</v>
      </c>
      <c r="J28" s="27" t="str">
        <f>'Maternal A '!I12</f>
        <v>85-95</v>
      </c>
      <c r="K28" s="483"/>
      <c r="L28" s="472"/>
      <c r="M28" s="473"/>
    </row>
    <row r="29" spans="1:13" ht="14.25" customHeight="1">
      <c r="A29" s="20" t="s">
        <v>27</v>
      </c>
      <c r="B29" s="21">
        <f>'Maternal A '!F7</f>
        <v>0</v>
      </c>
      <c r="C29" s="26">
        <f>'Maternal A '!J7</f>
        <v>0</v>
      </c>
      <c r="D29" s="474"/>
      <c r="E29" s="475"/>
      <c r="F29" s="476"/>
      <c r="H29" s="20" t="s">
        <v>27</v>
      </c>
      <c r="I29" s="23">
        <f>'Maternal A '!F12</f>
        <v>1</v>
      </c>
      <c r="J29" s="26" t="str">
        <f>'Maternal A '!J12</f>
        <v>25-50</v>
      </c>
      <c r="K29" s="474"/>
      <c r="L29" s="475"/>
      <c r="M29" s="476"/>
    </row>
    <row r="30" spans="1:13" ht="14.25" customHeight="1">
      <c r="A30" s="20" t="s">
        <v>28</v>
      </c>
      <c r="B30" s="21" t="e">
        <f>'Maternal A '!G7</f>
        <v>#DIV/0!</v>
      </c>
      <c r="C30" s="53">
        <f>'Maternal A '!H7</f>
        <v>0</v>
      </c>
      <c r="D30" s="477"/>
      <c r="E30" s="478"/>
      <c r="F30" s="479"/>
      <c r="H30" s="20" t="s">
        <v>28</v>
      </c>
      <c r="I30" s="21">
        <f>'Maternal A '!G12</f>
        <v>17.899999999999999</v>
      </c>
      <c r="J30" s="26" t="str">
        <f>'Maternal A '!H12</f>
        <v>95-97</v>
      </c>
      <c r="K30" s="477"/>
      <c r="L30" s="478"/>
      <c r="M30" s="479"/>
    </row>
    <row r="31" spans="1:13" ht="14.25" customHeight="1" thickBot="1">
      <c r="A31" s="24" t="s">
        <v>30</v>
      </c>
      <c r="B31" s="480">
        <f>'Maternal A '!K7</f>
        <v>0</v>
      </c>
      <c r="C31" s="481"/>
      <c r="D31" s="481"/>
      <c r="E31" s="481"/>
      <c r="F31" s="482"/>
      <c r="H31" s="24" t="s">
        <v>30</v>
      </c>
      <c r="I31" s="480" t="str">
        <f>'Maternal A '!K12</f>
        <v>SOBREPESO</v>
      </c>
      <c r="J31" s="481"/>
      <c r="K31" s="481"/>
      <c r="L31" s="481"/>
      <c r="M31" s="482"/>
    </row>
    <row r="32" spans="1:13" ht="14.25" customHeight="1" thickBot="1"/>
    <row r="33" spans="1:13" ht="14.25" customHeight="1">
      <c r="A33" s="13" t="s">
        <v>21</v>
      </c>
      <c r="B33" s="487" t="str">
        <f>'Maternal A '!A8</f>
        <v>Gabriela Vello de Moraes</v>
      </c>
      <c r="C33" s="485"/>
      <c r="D33" s="486"/>
      <c r="E33" s="14" t="s">
        <v>22</v>
      </c>
      <c r="F33" s="15">
        <f>'Maternal A '!B8</f>
        <v>44455</v>
      </c>
      <c r="H33" s="13" t="s">
        <v>21</v>
      </c>
      <c r="I33" s="487" t="str">
        <f>'Maternal A '!A13</f>
        <v>Theo Kenji Kuba Imamura</v>
      </c>
      <c r="J33" s="485"/>
      <c r="K33" s="486"/>
      <c r="L33" s="14" t="s">
        <v>22</v>
      </c>
      <c r="M33" s="15">
        <f>'Maternal A '!B13</f>
        <v>44605</v>
      </c>
    </row>
    <row r="34" spans="1:13" ht="14.25" customHeight="1">
      <c r="A34" s="466" t="s">
        <v>23</v>
      </c>
      <c r="B34" s="467"/>
      <c r="C34" s="467"/>
      <c r="D34" s="467"/>
      <c r="E34" s="467"/>
      <c r="F34" s="468"/>
      <c r="H34" s="466" t="s">
        <v>23</v>
      </c>
      <c r="I34" s="467"/>
      <c r="J34" s="467"/>
      <c r="K34" s="467"/>
      <c r="L34" s="467"/>
      <c r="M34" s="468"/>
    </row>
    <row r="35" spans="1:13" ht="14.25" customHeight="1">
      <c r="A35" s="16" t="s">
        <v>24</v>
      </c>
      <c r="B35" s="17">
        <f>'Maternal A '!C8</f>
        <v>0</v>
      </c>
      <c r="C35" s="18" t="s">
        <v>25</v>
      </c>
      <c r="D35" s="469" t="s">
        <v>26</v>
      </c>
      <c r="E35" s="470"/>
      <c r="F35" s="19">
        <f>'Maternal A '!D8</f>
        <v>0</v>
      </c>
      <c r="H35" s="16" t="s">
        <v>24</v>
      </c>
      <c r="I35" s="17">
        <f>'Maternal A '!C13</f>
        <v>45729</v>
      </c>
      <c r="J35" s="18" t="s">
        <v>25</v>
      </c>
      <c r="K35" s="469" t="s">
        <v>26</v>
      </c>
      <c r="L35" s="470"/>
      <c r="M35" s="19" t="str">
        <f>'Maternal A '!D13</f>
        <v>3a 1m</v>
      </c>
    </row>
    <row r="36" spans="1:13" ht="14.25" customHeight="1">
      <c r="A36" s="20" t="s">
        <v>3</v>
      </c>
      <c r="B36" s="23">
        <f>'Maternal A '!E8</f>
        <v>0</v>
      </c>
      <c r="C36" s="27">
        <f>'Maternal A '!I8</f>
        <v>0</v>
      </c>
      <c r="D36" s="471"/>
      <c r="E36" s="472"/>
      <c r="F36" s="473"/>
      <c r="H36" s="20" t="s">
        <v>3</v>
      </c>
      <c r="I36" s="23">
        <f>'Maternal A '!E13</f>
        <v>12.6</v>
      </c>
      <c r="J36" s="27" t="str">
        <f>'Maternal A '!I13</f>
        <v>5-15.</v>
      </c>
      <c r="K36" s="483"/>
      <c r="L36" s="472"/>
      <c r="M36" s="473"/>
    </row>
    <row r="37" spans="1:13" ht="14.25" customHeight="1">
      <c r="A37" s="20" t="s">
        <v>27</v>
      </c>
      <c r="B37" s="21">
        <f>'Maternal A '!F8</f>
        <v>0</v>
      </c>
      <c r="C37" s="26">
        <f>'Maternal A '!J8</f>
        <v>0</v>
      </c>
      <c r="D37" s="474"/>
      <c r="E37" s="475"/>
      <c r="F37" s="476"/>
      <c r="H37" s="20" t="s">
        <v>27</v>
      </c>
      <c r="I37" s="23">
        <f>'Maternal A '!F13</f>
        <v>0.92</v>
      </c>
      <c r="J37" s="26" t="str">
        <f>'Maternal A '!J13</f>
        <v>5-15.</v>
      </c>
      <c r="K37" s="474"/>
      <c r="L37" s="475"/>
      <c r="M37" s="476"/>
    </row>
    <row r="38" spans="1:13" ht="14.25" customHeight="1">
      <c r="A38" s="20" t="s">
        <v>28</v>
      </c>
      <c r="B38" s="21" t="e">
        <f>'Maternal A '!G8</f>
        <v>#DIV/0!</v>
      </c>
      <c r="C38" s="53">
        <f>'Maternal A '!H8</f>
        <v>0</v>
      </c>
      <c r="D38" s="477"/>
      <c r="E38" s="478"/>
      <c r="F38" s="479"/>
      <c r="H38" s="20" t="s">
        <v>28</v>
      </c>
      <c r="I38" s="21">
        <f>'Maternal A '!G13</f>
        <v>14.88657844990548</v>
      </c>
      <c r="J38" s="26" t="str">
        <f>'Maternal A '!H13</f>
        <v>25-50</v>
      </c>
      <c r="K38" s="477"/>
      <c r="L38" s="478"/>
      <c r="M38" s="479"/>
    </row>
    <row r="39" spans="1:13" ht="14.25" customHeight="1" thickBot="1">
      <c r="A39" s="24" t="s">
        <v>30</v>
      </c>
      <c r="B39" s="480">
        <f>'Maternal A '!K8</f>
        <v>0</v>
      </c>
      <c r="C39" s="481"/>
      <c r="D39" s="481"/>
      <c r="E39" s="481"/>
      <c r="F39" s="482"/>
      <c r="H39" s="24" t="s">
        <v>30</v>
      </c>
      <c r="I39" s="480" t="str">
        <f>'Maternal A '!K13</f>
        <v>ADEQUADO</v>
      </c>
      <c r="J39" s="481"/>
      <c r="K39" s="481"/>
      <c r="L39" s="481"/>
      <c r="M39" s="482"/>
    </row>
    <row r="40" spans="1:13" ht="14.25" customHeight="1" thickBot="1"/>
    <row r="41" spans="1:13" ht="14.25" customHeight="1">
      <c r="H41" s="13" t="s">
        <v>21</v>
      </c>
      <c r="I41" s="487">
        <f>'Maternal A '!A14</f>
        <v>0</v>
      </c>
      <c r="J41" s="485"/>
      <c r="K41" s="486"/>
      <c r="L41" s="14" t="s">
        <v>22</v>
      </c>
      <c r="M41" s="15">
        <f>'Maternal A '!B14</f>
        <v>0</v>
      </c>
    </row>
    <row r="42" spans="1:13" ht="14.25" customHeight="1">
      <c r="H42" s="466" t="s">
        <v>23</v>
      </c>
      <c r="I42" s="467"/>
      <c r="J42" s="467"/>
      <c r="K42" s="467"/>
      <c r="L42" s="467"/>
      <c r="M42" s="468"/>
    </row>
    <row r="43" spans="1:13" ht="14.25" customHeight="1">
      <c r="H43" s="16" t="s">
        <v>24</v>
      </c>
      <c r="I43" s="17">
        <f>'Maternal A '!C14</f>
        <v>0</v>
      </c>
      <c r="J43" s="18" t="s">
        <v>25</v>
      </c>
      <c r="K43" s="469" t="s">
        <v>26</v>
      </c>
      <c r="L43" s="470"/>
      <c r="M43" s="19">
        <f>'Maternal A '!D14</f>
        <v>0</v>
      </c>
    </row>
    <row r="44" spans="1:13" ht="14.25" customHeight="1">
      <c r="H44" s="20" t="s">
        <v>3</v>
      </c>
      <c r="I44" s="23">
        <f>'Maternal A '!E14</f>
        <v>0</v>
      </c>
      <c r="J44" s="27">
        <f>'Maternal A '!I14</f>
        <v>0</v>
      </c>
      <c r="K44" s="483"/>
      <c r="L44" s="472"/>
      <c r="M44" s="473"/>
    </row>
    <row r="45" spans="1:13" ht="14.25" customHeight="1">
      <c r="H45" s="20" t="s">
        <v>27</v>
      </c>
      <c r="I45" s="23">
        <f>'Maternal A '!F14</f>
        <v>0</v>
      </c>
      <c r="J45" s="26">
        <f>'Maternal A '!J14</f>
        <v>0</v>
      </c>
      <c r="K45" s="474"/>
      <c r="L45" s="475"/>
      <c r="M45" s="476"/>
    </row>
    <row r="46" spans="1:13" ht="14.25" customHeight="1">
      <c r="H46" s="20" t="s">
        <v>28</v>
      </c>
      <c r="I46" s="21">
        <f>'Maternal A '!G14</f>
        <v>0</v>
      </c>
      <c r="J46" s="26">
        <f>'Maternal A '!H14</f>
        <v>0</v>
      </c>
      <c r="K46" s="477"/>
      <c r="L46" s="478"/>
      <c r="M46" s="479"/>
    </row>
    <row r="47" spans="1:13" ht="14.25" customHeight="1" thickBot="1">
      <c r="H47" s="24" t="s">
        <v>30</v>
      </c>
      <c r="I47" s="480">
        <f>'Maternal A '!K14</f>
        <v>0</v>
      </c>
      <c r="J47" s="481"/>
      <c r="K47" s="481"/>
      <c r="L47" s="481"/>
      <c r="M47" s="482"/>
    </row>
    <row r="48" spans="1:1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5">
    <mergeCell ref="I47:M47"/>
    <mergeCell ref="B39:F39"/>
    <mergeCell ref="I39:M39"/>
    <mergeCell ref="I41:K41"/>
    <mergeCell ref="H42:M42"/>
    <mergeCell ref="K43:L43"/>
    <mergeCell ref="K44:M46"/>
    <mergeCell ref="A34:F34"/>
    <mergeCell ref="H34:M34"/>
    <mergeCell ref="D35:E35"/>
    <mergeCell ref="K35:L35"/>
    <mergeCell ref="D36:F38"/>
    <mergeCell ref="K36:M38"/>
    <mergeCell ref="D28:F30"/>
    <mergeCell ref="K28:M30"/>
    <mergeCell ref="B31:F31"/>
    <mergeCell ref="I31:M31"/>
    <mergeCell ref="B33:D33"/>
    <mergeCell ref="I33:K33"/>
    <mergeCell ref="B25:D25"/>
    <mergeCell ref="I25:K25"/>
    <mergeCell ref="A26:F26"/>
    <mergeCell ref="H26:M26"/>
    <mergeCell ref="D27:E27"/>
    <mergeCell ref="K27:L27"/>
    <mergeCell ref="D19:E19"/>
    <mergeCell ref="K19:L19"/>
    <mergeCell ref="D20:F22"/>
    <mergeCell ref="K20:M22"/>
    <mergeCell ref="B23:F23"/>
    <mergeCell ref="I23:M23"/>
    <mergeCell ref="B15:F15"/>
    <mergeCell ref="I15:M15"/>
    <mergeCell ref="B17:D17"/>
    <mergeCell ref="I17:K17"/>
    <mergeCell ref="A18:F18"/>
    <mergeCell ref="H18:M18"/>
    <mergeCell ref="A10:F10"/>
    <mergeCell ref="H10:M10"/>
    <mergeCell ref="D11:E11"/>
    <mergeCell ref="K11:L11"/>
    <mergeCell ref="D12:F14"/>
    <mergeCell ref="K12:M14"/>
    <mergeCell ref="D4:F6"/>
    <mergeCell ref="K4:M6"/>
    <mergeCell ref="B7:F7"/>
    <mergeCell ref="I7:M7"/>
    <mergeCell ref="B9:D9"/>
    <mergeCell ref="I9:K9"/>
    <mergeCell ref="B1:D1"/>
    <mergeCell ref="I1:K1"/>
    <mergeCell ref="A2:F2"/>
    <mergeCell ref="H2:M2"/>
    <mergeCell ref="D3:E3"/>
    <mergeCell ref="K3:L3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8D08D"/>
  </sheetPr>
  <dimension ref="A1:Z998"/>
  <sheetViews>
    <sheetView workbookViewId="0">
      <selection sqref="A1:K12"/>
    </sheetView>
  </sheetViews>
  <sheetFormatPr defaultColWidth="14.44140625" defaultRowHeight="15" customHeight="1"/>
  <cols>
    <col min="1" max="1" width="30.6640625" style="69" customWidth="1"/>
    <col min="2" max="3" width="10.44140625" style="69" customWidth="1"/>
    <col min="4" max="4" width="7.88671875" style="69" customWidth="1"/>
    <col min="5" max="5" width="5.6640625" style="69" customWidth="1"/>
    <col min="6" max="6" width="8" style="69" customWidth="1"/>
    <col min="7" max="9" width="7.109375" style="69" customWidth="1"/>
    <col min="10" max="10" width="5.5546875" style="69" customWidth="1"/>
    <col min="11" max="11" width="16" style="69" customWidth="1"/>
    <col min="12" max="12" width="3.33203125" style="69" customWidth="1"/>
    <col min="13" max="13" width="12.5546875" style="69" customWidth="1"/>
    <col min="14" max="14" width="7.109375" style="69" customWidth="1"/>
    <col min="15" max="15" width="7.33203125" style="69" customWidth="1"/>
    <col min="16" max="26" width="9.109375" style="69" customWidth="1"/>
    <col min="27" max="16384" width="14.44140625" style="69"/>
  </cols>
  <sheetData>
    <row r="1" spans="1:26" ht="14.25" customHeight="1">
      <c r="A1" s="489" t="s">
        <v>157</v>
      </c>
      <c r="B1" s="464"/>
      <c r="C1" s="464"/>
      <c r="D1" s="464"/>
      <c r="E1" s="464"/>
      <c r="F1" s="464"/>
      <c r="G1" s="464"/>
      <c r="H1" s="464"/>
      <c r="I1" s="464"/>
      <c r="J1" s="46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/>
      <c r="B2" s="3"/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2" customHeight="1">
      <c r="A3" s="5"/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528" t="s">
        <v>9</v>
      </c>
      <c r="L3" s="7"/>
      <c r="M3" s="8"/>
      <c r="N3" s="8" t="s">
        <v>10</v>
      </c>
      <c r="O3" s="8" t="s">
        <v>11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>
      <c r="A4" s="282" t="s">
        <v>149</v>
      </c>
      <c r="B4" s="320">
        <v>44538</v>
      </c>
      <c r="C4" s="220">
        <v>45729</v>
      </c>
      <c r="D4" s="283" t="s">
        <v>242</v>
      </c>
      <c r="E4" s="326">
        <v>17</v>
      </c>
      <c r="F4" s="283">
        <v>1.03</v>
      </c>
      <c r="G4" s="318">
        <f>E4/(F4*F4)</f>
        <v>16.024130455273824</v>
      </c>
      <c r="H4" s="391" t="s">
        <v>275</v>
      </c>
      <c r="I4" s="393" t="s">
        <v>271</v>
      </c>
      <c r="J4" s="393" t="s">
        <v>271</v>
      </c>
      <c r="K4" s="394" t="s">
        <v>290</v>
      </c>
      <c r="L4" s="1"/>
      <c r="M4" s="29" t="s">
        <v>12</v>
      </c>
      <c r="N4" s="8"/>
      <c r="O4" s="8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279" t="s">
        <v>148</v>
      </c>
      <c r="B5" s="320">
        <v>44529</v>
      </c>
      <c r="C5" s="220">
        <v>45729</v>
      </c>
      <c r="D5" s="283" t="s">
        <v>242</v>
      </c>
      <c r="E5" s="283">
        <v>11.8</v>
      </c>
      <c r="F5" s="402">
        <v>0.9</v>
      </c>
      <c r="G5" s="318">
        <f t="shared" ref="G5:G6" si="0">E5/(F5*F5)</f>
        <v>14.567901234567902</v>
      </c>
      <c r="H5" s="392" t="s">
        <v>274</v>
      </c>
      <c r="I5" s="392" t="s">
        <v>273</v>
      </c>
      <c r="J5" s="395" t="s">
        <v>285</v>
      </c>
      <c r="K5" s="396" t="s">
        <v>290</v>
      </c>
      <c r="L5" s="1"/>
      <c r="M5" s="29" t="s">
        <v>13</v>
      </c>
      <c r="N5" s="8">
        <v>5</v>
      </c>
      <c r="O5" s="8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279" t="s">
        <v>70</v>
      </c>
      <c r="B6" s="320">
        <v>44346</v>
      </c>
      <c r="C6" s="220">
        <v>45729</v>
      </c>
      <c r="D6" s="283" t="s">
        <v>243</v>
      </c>
      <c r="E6" s="326">
        <v>14</v>
      </c>
      <c r="F6" s="283">
        <v>0.97</v>
      </c>
      <c r="G6" s="318">
        <f t="shared" si="0"/>
        <v>14.879370815176959</v>
      </c>
      <c r="H6" s="317" t="s">
        <v>274</v>
      </c>
      <c r="I6" s="317" t="s">
        <v>272</v>
      </c>
      <c r="J6" s="317" t="s">
        <v>272</v>
      </c>
      <c r="K6" s="397" t="s">
        <v>290</v>
      </c>
      <c r="L6" s="1"/>
      <c r="M6" s="29" t="s">
        <v>15</v>
      </c>
      <c r="N6" s="8">
        <v>1</v>
      </c>
      <c r="O6" s="8">
        <v>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279" t="s">
        <v>71</v>
      </c>
      <c r="B7" s="320">
        <v>44613</v>
      </c>
      <c r="C7" s="220">
        <v>45729</v>
      </c>
      <c r="D7" s="283" t="s">
        <v>244</v>
      </c>
      <c r="E7" s="326">
        <v>13</v>
      </c>
      <c r="F7" s="283">
        <v>0.92</v>
      </c>
      <c r="G7" s="318">
        <f>E7/(F7*F7)</f>
        <v>15.359168241965973</v>
      </c>
      <c r="H7" s="392">
        <v>50</v>
      </c>
      <c r="I7" s="392" t="s">
        <v>274</v>
      </c>
      <c r="J7" s="395" t="s">
        <v>272</v>
      </c>
      <c r="K7" s="396" t="s">
        <v>290</v>
      </c>
      <c r="L7" s="1"/>
      <c r="M7" s="29" t="s">
        <v>17</v>
      </c>
      <c r="N7" s="8"/>
      <c r="O7" s="8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279" t="s">
        <v>193</v>
      </c>
      <c r="B8" s="320">
        <v>44388</v>
      </c>
      <c r="C8" s="220">
        <v>45729</v>
      </c>
      <c r="D8" s="283" t="s">
        <v>245</v>
      </c>
      <c r="E8" s="283">
        <v>19.2</v>
      </c>
      <c r="F8" s="283">
        <v>1.04</v>
      </c>
      <c r="G8" s="319">
        <f>E8/(F8*F8)</f>
        <v>17.751479289940825</v>
      </c>
      <c r="H8" s="317">
        <v>95</v>
      </c>
      <c r="I8" s="317" t="s">
        <v>271</v>
      </c>
      <c r="J8" s="317" t="s">
        <v>269</v>
      </c>
      <c r="K8" s="397" t="s">
        <v>288</v>
      </c>
      <c r="L8" s="1"/>
      <c r="M8" s="29" t="s">
        <v>18</v>
      </c>
      <c r="N8" s="8">
        <f>SUM(N5:N7)</f>
        <v>6</v>
      </c>
      <c r="O8" s="8">
        <f>SUM(O5:O7)</f>
        <v>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279" t="s">
        <v>194</v>
      </c>
      <c r="B9" s="320">
        <v>44601</v>
      </c>
      <c r="C9" s="220">
        <v>45729</v>
      </c>
      <c r="D9" s="283" t="s">
        <v>241</v>
      </c>
      <c r="E9" s="283">
        <v>14.9</v>
      </c>
      <c r="F9" s="283">
        <v>0.98</v>
      </c>
      <c r="G9" s="319">
        <f>E9/(F9*F9)</f>
        <v>15.514369012911288</v>
      </c>
      <c r="H9" s="317" t="s">
        <v>275</v>
      </c>
      <c r="I9" s="317" t="s">
        <v>275</v>
      </c>
      <c r="J9" s="317" t="s">
        <v>275</v>
      </c>
      <c r="K9" s="397" t="s">
        <v>290</v>
      </c>
      <c r="L9" s="28"/>
      <c r="M9" s="29" t="s">
        <v>19</v>
      </c>
      <c r="N9" s="198"/>
      <c r="O9" s="200">
        <f>SUM(N8:O8)</f>
        <v>9</v>
      </c>
      <c r="P9" s="45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321" t="s">
        <v>195</v>
      </c>
      <c r="B10" s="322">
        <v>44287</v>
      </c>
      <c r="C10" s="244">
        <v>45729</v>
      </c>
      <c r="D10" s="328" t="s">
        <v>246</v>
      </c>
      <c r="E10" s="327">
        <v>18.100000000000001</v>
      </c>
      <c r="F10" s="328">
        <v>1.1000000000000001</v>
      </c>
      <c r="G10" s="329">
        <f>E10/(F10*F10)</f>
        <v>14.958677685950413</v>
      </c>
      <c r="H10" s="398" t="s">
        <v>274</v>
      </c>
      <c r="I10" s="398" t="s">
        <v>269</v>
      </c>
      <c r="J10" s="398" t="s">
        <v>277</v>
      </c>
      <c r="K10" s="399" t="s">
        <v>290</v>
      </c>
      <c r="L10" s="28"/>
      <c r="M10" s="140"/>
      <c r="N10" s="141"/>
      <c r="O10" s="141"/>
      <c r="P10" s="45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321" t="s">
        <v>196</v>
      </c>
      <c r="B11" s="322">
        <v>44328</v>
      </c>
      <c r="C11" s="244">
        <v>45729</v>
      </c>
      <c r="D11" s="328" t="s">
        <v>247</v>
      </c>
      <c r="E11" s="327">
        <v>17.100000000000001</v>
      </c>
      <c r="F11" s="328">
        <v>1</v>
      </c>
      <c r="G11" s="329">
        <f t="shared" ref="G11:G12" si="1">E11/(F11*F11)</f>
        <v>17.100000000000001</v>
      </c>
      <c r="H11" s="398" t="s">
        <v>271</v>
      </c>
      <c r="I11" s="332" t="s">
        <v>275</v>
      </c>
      <c r="J11" s="398" t="s">
        <v>274</v>
      </c>
      <c r="K11" s="399" t="s">
        <v>288</v>
      </c>
      <c r="L11" s="28"/>
      <c r="M11" s="140"/>
      <c r="N11" s="141"/>
      <c r="O11" s="141"/>
      <c r="P11" s="45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321" t="s">
        <v>73</v>
      </c>
      <c r="B12" s="322">
        <v>44317</v>
      </c>
      <c r="C12" s="244">
        <v>45729</v>
      </c>
      <c r="D12" s="327" t="s">
        <v>247</v>
      </c>
      <c r="E12" s="327">
        <v>18.899999999999999</v>
      </c>
      <c r="F12" s="327">
        <v>1.06</v>
      </c>
      <c r="G12" s="329">
        <f t="shared" si="1"/>
        <v>16.82093271626913</v>
      </c>
      <c r="H12" s="398" t="s">
        <v>271</v>
      </c>
      <c r="I12" s="398" t="s">
        <v>271</v>
      </c>
      <c r="J12" s="400" t="s">
        <v>269</v>
      </c>
      <c r="K12" s="399" t="s">
        <v>288</v>
      </c>
      <c r="L12" s="28"/>
      <c r="M12" s="140"/>
      <c r="N12" s="141"/>
      <c r="O12" s="141"/>
      <c r="P12" s="45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30"/>
      <c r="N13" s="30"/>
      <c r="O13" s="30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">
    <mergeCell ref="A1:J1"/>
  </mergeCells>
  <pageMargins left="0.511811024" right="0.511811024" top="0.78740157499999996" bottom="0.78740157499999996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A8D08D"/>
  </sheetPr>
  <dimension ref="A1:M1000"/>
  <sheetViews>
    <sheetView topLeftCell="A7" workbookViewId="0">
      <selection activeCell="H9" sqref="H9:M15"/>
    </sheetView>
  </sheetViews>
  <sheetFormatPr defaultColWidth="14.44140625" defaultRowHeight="15" customHeight="1"/>
  <cols>
    <col min="1" max="1" width="11.33203125" customWidth="1"/>
    <col min="2" max="2" width="10.6640625" customWidth="1"/>
    <col min="3" max="3" width="8.6640625" customWidth="1"/>
    <col min="4" max="4" width="6.5546875" customWidth="1"/>
    <col min="5" max="5" width="5.33203125" customWidth="1"/>
    <col min="6" max="6" width="10.6640625" customWidth="1"/>
    <col min="7" max="7" width="3.44140625" customWidth="1"/>
    <col min="8" max="8" width="11.33203125" customWidth="1"/>
    <col min="9" max="9" width="10.6640625" customWidth="1"/>
    <col min="10" max="11" width="8.6640625" customWidth="1"/>
    <col min="12" max="12" width="4.88671875" customWidth="1"/>
    <col min="13" max="13" width="10.77734375" bestFit="1" customWidth="1"/>
    <col min="14" max="26" width="8.6640625" customWidth="1"/>
  </cols>
  <sheetData>
    <row r="1" spans="1:13" ht="14.25" customHeight="1">
      <c r="A1" s="13" t="s">
        <v>21</v>
      </c>
      <c r="B1" s="487" t="str">
        <f>'Maternal B'!A4</f>
        <v>Alice Aguiar Rodrigues</v>
      </c>
      <c r="C1" s="485"/>
      <c r="D1" s="486"/>
      <c r="E1" s="14" t="s">
        <v>22</v>
      </c>
      <c r="F1" s="15">
        <f>'Maternal B'!B4</f>
        <v>44538</v>
      </c>
      <c r="H1" s="13" t="s">
        <v>21</v>
      </c>
      <c r="I1" s="487" t="str">
        <f>'Maternal B'!A9</f>
        <v>Maria Eduarda M. Bordinhon</v>
      </c>
      <c r="J1" s="485"/>
      <c r="K1" s="486"/>
      <c r="L1" s="14" t="s">
        <v>22</v>
      </c>
      <c r="M1" s="15">
        <f>'Maternal B'!B9</f>
        <v>44601</v>
      </c>
    </row>
    <row r="2" spans="1:13" ht="14.25" customHeight="1">
      <c r="A2" s="466" t="s">
        <v>23</v>
      </c>
      <c r="B2" s="467"/>
      <c r="C2" s="467"/>
      <c r="D2" s="467"/>
      <c r="E2" s="467"/>
      <c r="F2" s="468"/>
      <c r="H2" s="466" t="s">
        <v>23</v>
      </c>
      <c r="I2" s="467"/>
      <c r="J2" s="467"/>
      <c r="K2" s="467"/>
      <c r="L2" s="467"/>
      <c r="M2" s="468"/>
    </row>
    <row r="3" spans="1:13" ht="14.25" customHeight="1">
      <c r="A3" s="16" t="s">
        <v>24</v>
      </c>
      <c r="B3" s="17">
        <f>'Maternal B'!C4</f>
        <v>45729</v>
      </c>
      <c r="C3" s="18" t="s">
        <v>25</v>
      </c>
      <c r="D3" s="469" t="s">
        <v>26</v>
      </c>
      <c r="E3" s="470"/>
      <c r="F3" s="19" t="str">
        <f>'Maternal B'!D4</f>
        <v>3a 3m</v>
      </c>
      <c r="H3" s="16" t="s">
        <v>24</v>
      </c>
      <c r="I3" s="17">
        <f>'Maternal B'!C9</f>
        <v>45729</v>
      </c>
      <c r="J3" s="18" t="s">
        <v>25</v>
      </c>
      <c r="K3" s="469" t="s">
        <v>26</v>
      </c>
      <c r="L3" s="470"/>
      <c r="M3" s="19" t="str">
        <f>'Maternal B'!D9</f>
        <v>3a 1m</v>
      </c>
    </row>
    <row r="4" spans="1:13" ht="14.25" customHeight="1">
      <c r="A4" s="20" t="s">
        <v>3</v>
      </c>
      <c r="B4" s="23">
        <f>'Maternal B'!E4</f>
        <v>17</v>
      </c>
      <c r="C4" s="27" t="str">
        <f>'Maternal B'!I4</f>
        <v>85-95</v>
      </c>
      <c r="D4" s="471"/>
      <c r="E4" s="472"/>
      <c r="F4" s="473"/>
      <c r="H4" s="20" t="s">
        <v>3</v>
      </c>
      <c r="I4" s="23">
        <f>'Maternal B'!E9</f>
        <v>14.9</v>
      </c>
      <c r="J4" s="27" t="str">
        <f>'Maternal B'!I9</f>
        <v>50-75</v>
      </c>
      <c r="K4" s="483"/>
      <c r="L4" s="472"/>
      <c r="M4" s="473"/>
    </row>
    <row r="5" spans="1:13" ht="14.25" customHeight="1">
      <c r="A5" s="20" t="s">
        <v>27</v>
      </c>
      <c r="B5" s="21">
        <f>'Maternal B'!F4</f>
        <v>1.03</v>
      </c>
      <c r="C5" s="27" t="str">
        <f>'Maternal B'!J4</f>
        <v>85-95</v>
      </c>
      <c r="D5" s="474"/>
      <c r="E5" s="475"/>
      <c r="F5" s="476"/>
      <c r="H5" s="20" t="s">
        <v>27</v>
      </c>
      <c r="I5" s="23">
        <f>'Maternal B'!F9</f>
        <v>0.98</v>
      </c>
      <c r="J5" s="23" t="str">
        <f>'Maternal B'!J9</f>
        <v>50-75</v>
      </c>
      <c r="K5" s="474"/>
      <c r="L5" s="475"/>
      <c r="M5" s="476"/>
    </row>
    <row r="6" spans="1:13" ht="14.25" customHeight="1">
      <c r="A6" s="20" t="s">
        <v>86</v>
      </c>
      <c r="B6" s="21">
        <f>'Maternal B'!G4</f>
        <v>16.024130455273824</v>
      </c>
      <c r="C6" s="53" t="str">
        <f>'Maternal B'!H4</f>
        <v>50-75</v>
      </c>
      <c r="D6" s="477"/>
      <c r="E6" s="478"/>
      <c r="F6" s="479"/>
      <c r="H6" s="20" t="s">
        <v>87</v>
      </c>
      <c r="I6" s="21">
        <f>'Maternal B'!G9</f>
        <v>15.514369012911288</v>
      </c>
      <c r="J6" s="23" t="str">
        <f>'Maternal B'!H9</f>
        <v>50-75</v>
      </c>
      <c r="K6" s="477"/>
      <c r="L6" s="478"/>
      <c r="M6" s="479"/>
    </row>
    <row r="7" spans="1:13" ht="28.8">
      <c r="A7" s="24" t="s">
        <v>30</v>
      </c>
      <c r="B7" s="480" t="str">
        <f>'Maternal B'!K4</f>
        <v>ADEQUADO</v>
      </c>
      <c r="C7" s="481"/>
      <c r="D7" s="481"/>
      <c r="E7" s="481"/>
      <c r="F7" s="482"/>
      <c r="H7" s="24" t="s">
        <v>30</v>
      </c>
      <c r="I7" s="480" t="str">
        <f>'Maternal B'!K9</f>
        <v>ADEQUADO</v>
      </c>
      <c r="J7" s="481"/>
      <c r="K7" s="481"/>
      <c r="L7" s="481"/>
      <c r="M7" s="482"/>
    </row>
    <row r="8" spans="1:13" ht="7.5" customHeight="1" thickBot="1"/>
    <row r="9" spans="1:13" ht="14.25" customHeight="1">
      <c r="A9" s="13" t="s">
        <v>21</v>
      </c>
      <c r="B9" s="487" t="str">
        <f>'Maternal B'!A5</f>
        <v>Alice Cardoso Montenegro</v>
      </c>
      <c r="C9" s="485"/>
      <c r="D9" s="486"/>
      <c r="E9" s="14" t="s">
        <v>22</v>
      </c>
      <c r="F9" s="15">
        <f>'Maternal B'!B5</f>
        <v>44529</v>
      </c>
      <c r="H9" s="13" t="s">
        <v>21</v>
      </c>
      <c r="I9" s="487" t="str">
        <f>'Maternal B'!A10</f>
        <v>Matheus G.A. Pereira</v>
      </c>
      <c r="J9" s="485"/>
      <c r="K9" s="486"/>
      <c r="L9" s="14" t="s">
        <v>22</v>
      </c>
      <c r="M9" s="15">
        <f>'Maternal B'!B10</f>
        <v>44287</v>
      </c>
    </row>
    <row r="10" spans="1:13" ht="14.25" customHeight="1">
      <c r="A10" s="466" t="s">
        <v>23</v>
      </c>
      <c r="B10" s="467"/>
      <c r="C10" s="467"/>
      <c r="D10" s="467"/>
      <c r="E10" s="467"/>
      <c r="F10" s="468"/>
      <c r="H10" s="466" t="s">
        <v>23</v>
      </c>
      <c r="I10" s="467"/>
      <c r="J10" s="467"/>
      <c r="K10" s="467"/>
      <c r="L10" s="467"/>
      <c r="M10" s="468"/>
    </row>
    <row r="11" spans="1:13" ht="14.25" customHeight="1">
      <c r="A11" s="16" t="s">
        <v>24</v>
      </c>
      <c r="B11" s="17">
        <f>'Maternal B'!C5</f>
        <v>45729</v>
      </c>
      <c r="C11" s="18" t="s">
        <v>25</v>
      </c>
      <c r="D11" s="469" t="s">
        <v>26</v>
      </c>
      <c r="E11" s="470"/>
      <c r="F11" s="19" t="str">
        <f>'Maternal B'!D5</f>
        <v>3a 3m</v>
      </c>
      <c r="H11" s="16" t="s">
        <v>24</v>
      </c>
      <c r="I11" s="17">
        <f>'Maternal B'!C10</f>
        <v>45729</v>
      </c>
      <c r="J11" s="18" t="s">
        <v>25</v>
      </c>
      <c r="K11" s="469" t="s">
        <v>26</v>
      </c>
      <c r="L11" s="470"/>
      <c r="M11" s="19" t="str">
        <f>'Maternal B'!D10</f>
        <v>3a 11m</v>
      </c>
    </row>
    <row r="12" spans="1:13" ht="14.25" customHeight="1">
      <c r="A12" s="20" t="s">
        <v>3</v>
      </c>
      <c r="B12" s="23">
        <f>'Maternal B'!E5</f>
        <v>11.8</v>
      </c>
      <c r="C12" s="27" t="str">
        <f>'Maternal B'!I5</f>
        <v>5-15.</v>
      </c>
      <c r="D12" s="471"/>
      <c r="E12" s="472"/>
      <c r="F12" s="473"/>
      <c r="H12" s="20" t="s">
        <v>3</v>
      </c>
      <c r="I12" s="23">
        <f>'Maternal B'!E10</f>
        <v>18.100000000000001</v>
      </c>
      <c r="J12" s="27" t="str">
        <f>'Maternal B'!I10</f>
        <v>75-85</v>
      </c>
      <c r="K12" s="483"/>
      <c r="L12" s="472"/>
      <c r="M12" s="473"/>
    </row>
    <row r="13" spans="1:13" ht="14.25" customHeight="1">
      <c r="A13" s="20" t="s">
        <v>27</v>
      </c>
      <c r="B13" s="21">
        <f>'Maternal B'!F5</f>
        <v>0.9</v>
      </c>
      <c r="C13" s="27" t="str">
        <f>'Maternal B'!J5</f>
        <v>3-5.</v>
      </c>
      <c r="D13" s="474"/>
      <c r="E13" s="475"/>
      <c r="F13" s="476"/>
      <c r="H13" s="20" t="s">
        <v>27</v>
      </c>
      <c r="I13" s="23">
        <f>'Maternal B'!F10</f>
        <v>1.1000000000000001</v>
      </c>
      <c r="J13" s="23" t="str">
        <f>'Maternal B'!J10</f>
        <v>95-97</v>
      </c>
      <c r="K13" s="474"/>
      <c r="L13" s="475"/>
      <c r="M13" s="476"/>
    </row>
    <row r="14" spans="1:13" ht="14.25" customHeight="1">
      <c r="A14" s="20" t="s">
        <v>28</v>
      </c>
      <c r="B14" s="21">
        <f>'Maternal B'!G5</f>
        <v>14.567901234567902</v>
      </c>
      <c r="C14" s="53" t="str">
        <f>'Maternal B'!H5</f>
        <v>25-50</v>
      </c>
      <c r="D14" s="477"/>
      <c r="E14" s="478"/>
      <c r="F14" s="479"/>
      <c r="H14" s="20" t="s">
        <v>28</v>
      </c>
      <c r="I14" s="21">
        <f>'Maternal B'!G10</f>
        <v>14.958677685950413</v>
      </c>
      <c r="J14" s="23" t="str">
        <f>'Maternal B'!H10</f>
        <v>25-50</v>
      </c>
      <c r="K14" s="477"/>
      <c r="L14" s="478"/>
      <c r="M14" s="479"/>
    </row>
    <row r="15" spans="1:13" ht="29.4" thickBot="1">
      <c r="A15" s="24" t="s">
        <v>30</v>
      </c>
      <c r="B15" s="480" t="str">
        <f>'Maternal B'!K5</f>
        <v>ADEQUADO</v>
      </c>
      <c r="C15" s="481"/>
      <c r="D15" s="481"/>
      <c r="E15" s="481"/>
      <c r="F15" s="482"/>
      <c r="H15" s="24" t="s">
        <v>30</v>
      </c>
      <c r="I15" s="480" t="str">
        <f>'Maternal B'!K10</f>
        <v>ADEQUADO</v>
      </c>
      <c r="J15" s="481"/>
      <c r="K15" s="481"/>
      <c r="L15" s="481"/>
      <c r="M15" s="482"/>
    </row>
    <row r="16" spans="1:13" ht="6" customHeight="1" thickBot="1"/>
    <row r="17" spans="1:13" ht="14.25" customHeight="1">
      <c r="A17" s="13" t="s">
        <v>21</v>
      </c>
      <c r="B17" s="487" t="str">
        <f>'Maternal B'!A6</f>
        <v>Beatriz Cury Aquino</v>
      </c>
      <c r="C17" s="485"/>
      <c r="D17" s="486"/>
      <c r="E17" s="14" t="s">
        <v>22</v>
      </c>
      <c r="F17" s="15">
        <f>'Maternal B'!B6</f>
        <v>44346</v>
      </c>
      <c r="H17" s="13" t="s">
        <v>21</v>
      </c>
      <c r="I17" s="484" t="e">
        <f>#REF!</f>
        <v>#REF!</v>
      </c>
      <c r="J17" s="485"/>
      <c r="K17" s="486"/>
      <c r="L17" s="14" t="s">
        <v>22</v>
      </c>
      <c r="M17" s="15" t="e">
        <f>#REF!</f>
        <v>#REF!</v>
      </c>
    </row>
    <row r="18" spans="1:13" ht="14.25" customHeight="1">
      <c r="A18" s="466" t="s">
        <v>23</v>
      </c>
      <c r="B18" s="467"/>
      <c r="C18" s="467"/>
      <c r="D18" s="467"/>
      <c r="E18" s="467"/>
      <c r="F18" s="468"/>
      <c r="H18" s="466" t="s">
        <v>23</v>
      </c>
      <c r="I18" s="467"/>
      <c r="J18" s="467"/>
      <c r="K18" s="467"/>
      <c r="L18" s="467"/>
      <c r="M18" s="468"/>
    </row>
    <row r="19" spans="1:13" ht="14.25" customHeight="1">
      <c r="A19" s="16" t="s">
        <v>24</v>
      </c>
      <c r="B19" s="17">
        <f>'Maternal B'!C6</f>
        <v>45729</v>
      </c>
      <c r="C19" s="18" t="s">
        <v>25</v>
      </c>
      <c r="D19" s="469" t="s">
        <v>26</v>
      </c>
      <c r="E19" s="470"/>
      <c r="F19" s="19" t="str">
        <f>'Maternal B'!D6</f>
        <v>3a 9m</v>
      </c>
      <c r="H19" s="16" t="s">
        <v>24</v>
      </c>
      <c r="I19" s="17" t="e">
        <f>#REF!</f>
        <v>#REF!</v>
      </c>
      <c r="J19" s="18" t="s">
        <v>25</v>
      </c>
      <c r="K19" s="469" t="s">
        <v>26</v>
      </c>
      <c r="L19" s="470"/>
      <c r="M19" s="19" t="e">
        <f>#REF!</f>
        <v>#REF!</v>
      </c>
    </row>
    <row r="20" spans="1:13" ht="14.25" customHeight="1">
      <c r="A20" s="20" t="s">
        <v>3</v>
      </c>
      <c r="B20" s="23">
        <f>'Maternal B'!E6</f>
        <v>14</v>
      </c>
      <c r="C20" s="27" t="str">
        <f>'Maternal B'!I6</f>
        <v>15-25</v>
      </c>
      <c r="D20" s="471"/>
      <c r="E20" s="472"/>
      <c r="F20" s="473"/>
      <c r="H20" s="20" t="s">
        <v>3</v>
      </c>
      <c r="I20" s="23" t="e">
        <f>#REF!</f>
        <v>#REF!</v>
      </c>
      <c r="J20" s="27" t="e">
        <f>#REF!</f>
        <v>#REF!</v>
      </c>
      <c r="K20" s="483"/>
      <c r="L20" s="472"/>
      <c r="M20" s="473"/>
    </row>
    <row r="21" spans="1:13" ht="14.25" customHeight="1">
      <c r="A21" s="20" t="s">
        <v>27</v>
      </c>
      <c r="B21" s="21">
        <f>'Maternal B'!F6</f>
        <v>0.97</v>
      </c>
      <c r="C21" s="27" t="str">
        <f>'Maternal B'!J6</f>
        <v>15-25</v>
      </c>
      <c r="D21" s="474"/>
      <c r="E21" s="475"/>
      <c r="F21" s="476"/>
      <c r="H21" s="20" t="s">
        <v>27</v>
      </c>
      <c r="I21" s="23" t="e">
        <f>#REF!</f>
        <v>#REF!</v>
      </c>
      <c r="J21" s="23" t="e">
        <f>#REF!</f>
        <v>#REF!</v>
      </c>
      <c r="K21" s="474"/>
      <c r="L21" s="475"/>
      <c r="M21" s="476"/>
    </row>
    <row r="22" spans="1:13" ht="14.25" customHeight="1">
      <c r="A22" s="20" t="s">
        <v>28</v>
      </c>
      <c r="B22" s="21">
        <f>'Maternal B'!G6</f>
        <v>14.879370815176959</v>
      </c>
      <c r="C22" s="53" t="str">
        <f>'Maternal B'!H6</f>
        <v>25-50</v>
      </c>
      <c r="D22" s="477"/>
      <c r="E22" s="478"/>
      <c r="F22" s="479"/>
      <c r="H22" s="20" t="s">
        <v>88</v>
      </c>
      <c r="I22" s="21" t="e">
        <f>#REF!</f>
        <v>#REF!</v>
      </c>
      <c r="J22" s="23" t="e">
        <f>#REF!</f>
        <v>#REF!</v>
      </c>
      <c r="K22" s="477"/>
      <c r="L22" s="478"/>
      <c r="M22" s="479"/>
    </row>
    <row r="23" spans="1:13" ht="14.25" customHeight="1">
      <c r="A23" s="24" t="s">
        <v>30</v>
      </c>
      <c r="B23" s="480">
        <f>'Maternal B'!K20</f>
        <v>0</v>
      </c>
      <c r="C23" s="481"/>
      <c r="D23" s="481"/>
      <c r="E23" s="481"/>
      <c r="F23" s="482"/>
      <c r="H23" s="24" t="s">
        <v>30</v>
      </c>
      <c r="I23" s="480" t="e">
        <f>#REF!</f>
        <v>#REF!</v>
      </c>
      <c r="J23" s="481"/>
      <c r="K23" s="481"/>
      <c r="L23" s="481"/>
      <c r="M23" s="482"/>
    </row>
    <row r="24" spans="1:13" ht="8.25" customHeight="1"/>
    <row r="25" spans="1:13" ht="14.25" customHeight="1">
      <c r="A25" s="13" t="s">
        <v>21</v>
      </c>
      <c r="B25" s="487" t="str">
        <f>'Maternal B'!A7</f>
        <v>Laura Lentini Fernandes</v>
      </c>
      <c r="C25" s="485"/>
      <c r="D25" s="486"/>
      <c r="E25" s="14" t="s">
        <v>22</v>
      </c>
      <c r="F25" s="15">
        <f>'Maternal B'!B7</f>
        <v>44613</v>
      </c>
      <c r="H25" s="13" t="s">
        <v>21</v>
      </c>
      <c r="I25" s="484" t="e">
        <f>#REF!</f>
        <v>#REF!</v>
      </c>
      <c r="J25" s="485"/>
      <c r="K25" s="486"/>
      <c r="L25" s="14" t="s">
        <v>22</v>
      </c>
      <c r="M25" s="15" t="e">
        <f>#REF!</f>
        <v>#REF!</v>
      </c>
    </row>
    <row r="26" spans="1:13" ht="14.25" customHeight="1">
      <c r="A26" s="466" t="s">
        <v>23</v>
      </c>
      <c r="B26" s="467"/>
      <c r="C26" s="467"/>
      <c r="D26" s="467"/>
      <c r="E26" s="467"/>
      <c r="F26" s="468"/>
      <c r="H26" s="466" t="s">
        <v>23</v>
      </c>
      <c r="I26" s="467"/>
      <c r="J26" s="467"/>
      <c r="K26" s="467"/>
      <c r="L26" s="467"/>
      <c r="M26" s="468"/>
    </row>
    <row r="27" spans="1:13" ht="14.25" customHeight="1">
      <c r="A27" s="16" t="s">
        <v>24</v>
      </c>
      <c r="B27" s="17">
        <f>'Maternal B'!C7</f>
        <v>45729</v>
      </c>
      <c r="C27" s="18" t="s">
        <v>25</v>
      </c>
      <c r="D27" s="469" t="s">
        <v>26</v>
      </c>
      <c r="E27" s="470"/>
      <c r="F27" s="19" t="str">
        <f>'Maternal B'!D7</f>
        <v xml:space="preserve">3a </v>
      </c>
      <c r="H27" s="16" t="s">
        <v>24</v>
      </c>
      <c r="I27" s="17" t="e">
        <f>#REF!</f>
        <v>#REF!</v>
      </c>
      <c r="J27" s="18" t="s">
        <v>25</v>
      </c>
      <c r="K27" s="469" t="s">
        <v>26</v>
      </c>
      <c r="L27" s="470"/>
      <c r="M27" s="19" t="e">
        <f>#REF!</f>
        <v>#REF!</v>
      </c>
    </row>
    <row r="28" spans="1:13" ht="14.25" customHeight="1">
      <c r="A28" s="20" t="s">
        <v>3</v>
      </c>
      <c r="B28" s="23">
        <f>'Maternal B'!E7</f>
        <v>13</v>
      </c>
      <c r="C28" s="27" t="str">
        <f>'Maternal B'!I7</f>
        <v>25-50</v>
      </c>
      <c r="D28" s="471"/>
      <c r="E28" s="472"/>
      <c r="F28" s="473"/>
      <c r="H28" s="20" t="s">
        <v>3</v>
      </c>
      <c r="I28" s="23" t="e">
        <f>#REF!</f>
        <v>#REF!</v>
      </c>
      <c r="J28" s="27" t="e">
        <f>#REF!</f>
        <v>#REF!</v>
      </c>
      <c r="K28" s="483"/>
      <c r="L28" s="472"/>
      <c r="M28" s="473"/>
    </row>
    <row r="29" spans="1:13" ht="14.25" customHeight="1">
      <c r="A29" s="20" t="s">
        <v>27</v>
      </c>
      <c r="B29" s="21">
        <f>'Maternal B'!F7</f>
        <v>0.92</v>
      </c>
      <c r="C29" s="27" t="str">
        <f>'Maternal B'!J7</f>
        <v>15-25</v>
      </c>
      <c r="D29" s="474"/>
      <c r="E29" s="475"/>
      <c r="F29" s="476"/>
      <c r="H29" s="20" t="s">
        <v>27</v>
      </c>
      <c r="I29" s="23" t="e">
        <f>#REF!</f>
        <v>#REF!</v>
      </c>
      <c r="J29" s="23" t="e">
        <f>#REF!</f>
        <v>#REF!</v>
      </c>
      <c r="K29" s="474"/>
      <c r="L29" s="475"/>
      <c r="M29" s="476"/>
    </row>
    <row r="30" spans="1:13" ht="14.25" customHeight="1">
      <c r="A30" s="20" t="s">
        <v>28</v>
      </c>
      <c r="B30" s="21">
        <f>'Maternal B'!G7</f>
        <v>15.359168241965973</v>
      </c>
      <c r="C30" s="53">
        <f>'Maternal B'!H7</f>
        <v>50</v>
      </c>
      <c r="D30" s="477"/>
      <c r="E30" s="478"/>
      <c r="F30" s="479"/>
      <c r="H30" s="20" t="s">
        <v>89</v>
      </c>
      <c r="I30" s="21" t="e">
        <f>#REF!</f>
        <v>#REF!</v>
      </c>
      <c r="J30" s="23" t="e">
        <f>#REF!</f>
        <v>#REF!</v>
      </c>
      <c r="K30" s="477"/>
      <c r="L30" s="478"/>
      <c r="M30" s="479"/>
    </row>
    <row r="31" spans="1:13" ht="14.25" customHeight="1">
      <c r="A31" s="24" t="s">
        <v>30</v>
      </c>
      <c r="B31" s="480" t="str">
        <f>'Maternal B'!K7</f>
        <v>ADEQUADO</v>
      </c>
      <c r="C31" s="481"/>
      <c r="D31" s="481"/>
      <c r="E31" s="481"/>
      <c r="F31" s="482"/>
      <c r="H31" s="24" t="s">
        <v>30</v>
      </c>
      <c r="I31" s="480" t="e">
        <f>#REF!</f>
        <v>#REF!</v>
      </c>
      <c r="J31" s="481"/>
      <c r="K31" s="481"/>
      <c r="L31" s="481"/>
      <c r="M31" s="482"/>
    </row>
    <row r="32" spans="1:13" ht="14.25" customHeight="1" thickBot="1"/>
    <row r="33" spans="1:13" ht="14.25" customHeight="1">
      <c r="A33" s="13" t="s">
        <v>21</v>
      </c>
      <c r="B33" s="487" t="str">
        <f>'Maternal B'!A8</f>
        <v>Manuella Boffi O. da Cruz</v>
      </c>
      <c r="C33" s="485"/>
      <c r="D33" s="486"/>
      <c r="E33" s="14" t="s">
        <v>22</v>
      </c>
      <c r="F33" s="15">
        <f>'Maternal B'!B8</f>
        <v>44388</v>
      </c>
      <c r="H33" s="13" t="s">
        <v>21</v>
      </c>
      <c r="I33" s="487" t="e">
        <f>'Maternal B'!#REF!</f>
        <v>#REF!</v>
      </c>
      <c r="J33" s="485"/>
      <c r="K33" s="486"/>
      <c r="L33" s="14" t="s">
        <v>22</v>
      </c>
      <c r="M33" s="15" t="e">
        <f>'Maternal B'!#REF!</f>
        <v>#REF!</v>
      </c>
    </row>
    <row r="34" spans="1:13" ht="14.25" customHeight="1">
      <c r="A34" s="466" t="s">
        <v>23</v>
      </c>
      <c r="B34" s="467"/>
      <c r="C34" s="467"/>
      <c r="D34" s="467"/>
      <c r="E34" s="467"/>
      <c r="F34" s="468"/>
      <c r="H34" s="466" t="s">
        <v>90</v>
      </c>
      <c r="I34" s="467"/>
      <c r="J34" s="467"/>
      <c r="K34" s="467"/>
      <c r="L34" s="467"/>
      <c r="M34" s="468"/>
    </row>
    <row r="35" spans="1:13" ht="14.25" customHeight="1">
      <c r="A35" s="16" t="s">
        <v>24</v>
      </c>
      <c r="B35" s="17">
        <f>'Maternal B'!C8</f>
        <v>45729</v>
      </c>
      <c r="C35" s="18" t="s">
        <v>25</v>
      </c>
      <c r="D35" s="469" t="s">
        <v>26</v>
      </c>
      <c r="E35" s="470"/>
      <c r="F35" s="19" t="str">
        <f>'Maternal B'!D8</f>
        <v>3a 8m</v>
      </c>
      <c r="H35" s="16" t="s">
        <v>24</v>
      </c>
      <c r="I35" s="17" t="e">
        <f>'Maternal B'!#REF!</f>
        <v>#REF!</v>
      </c>
      <c r="J35" s="18" t="s">
        <v>25</v>
      </c>
      <c r="K35" s="469" t="s">
        <v>26</v>
      </c>
      <c r="L35" s="470"/>
      <c r="M35" s="19" t="e">
        <f>'Maternal B'!#REF!</f>
        <v>#REF!</v>
      </c>
    </row>
    <row r="36" spans="1:13" ht="14.25" customHeight="1">
      <c r="A36" s="20" t="s">
        <v>3</v>
      </c>
      <c r="B36" s="23">
        <f>'Maternal B'!E8</f>
        <v>19.2</v>
      </c>
      <c r="C36" s="27" t="str">
        <f>'Maternal B'!I8</f>
        <v>85-95</v>
      </c>
      <c r="D36" s="471"/>
      <c r="E36" s="472"/>
      <c r="F36" s="473"/>
      <c r="H36" s="20" t="s">
        <v>3</v>
      </c>
      <c r="I36" s="23" t="e">
        <f>'Maternal B'!#REF!</f>
        <v>#REF!</v>
      </c>
      <c r="J36" s="27" t="e">
        <f>'Maternal B'!#REF!</f>
        <v>#REF!</v>
      </c>
      <c r="K36" s="483"/>
      <c r="L36" s="472"/>
      <c r="M36" s="473"/>
    </row>
    <row r="37" spans="1:13" ht="14.25" customHeight="1">
      <c r="A37" s="20" t="s">
        <v>27</v>
      </c>
      <c r="B37" s="21">
        <f>'Maternal B'!F8</f>
        <v>1.04</v>
      </c>
      <c r="C37" s="27" t="str">
        <f>'Maternal B'!J8</f>
        <v>75-85</v>
      </c>
      <c r="D37" s="474"/>
      <c r="E37" s="475"/>
      <c r="F37" s="476"/>
      <c r="H37" s="20" t="s">
        <v>27</v>
      </c>
      <c r="I37" s="23" t="e">
        <f>'Maternal B'!#REF!</f>
        <v>#REF!</v>
      </c>
      <c r="J37" s="27" t="e">
        <f>'Maternal B'!#REF!</f>
        <v>#REF!</v>
      </c>
      <c r="K37" s="474"/>
      <c r="L37" s="475"/>
      <c r="M37" s="476"/>
    </row>
    <row r="38" spans="1:13" ht="14.25" customHeight="1">
      <c r="A38" s="20" t="s">
        <v>28</v>
      </c>
      <c r="B38" s="21">
        <f>'Maternal B'!G8</f>
        <v>17.751479289940825</v>
      </c>
      <c r="C38" s="53">
        <f>'Maternal B'!H8</f>
        <v>95</v>
      </c>
      <c r="D38" s="477"/>
      <c r="E38" s="478"/>
      <c r="F38" s="479"/>
      <c r="H38" s="20" t="s">
        <v>91</v>
      </c>
      <c r="I38" s="21" t="e">
        <f>'Maternal B'!#REF!</f>
        <v>#REF!</v>
      </c>
      <c r="J38" s="23" t="e">
        <f>'Maternal B'!#REF!</f>
        <v>#REF!</v>
      </c>
      <c r="K38" s="477"/>
      <c r="L38" s="478"/>
      <c r="M38" s="479"/>
    </row>
    <row r="39" spans="1:13" ht="14.25" customHeight="1" thickBot="1">
      <c r="A39" s="24" t="s">
        <v>30</v>
      </c>
      <c r="B39" s="480" t="str">
        <f>'Maternal B'!K8</f>
        <v>SOBREPESO</v>
      </c>
      <c r="C39" s="481"/>
      <c r="D39" s="481"/>
      <c r="E39" s="481"/>
      <c r="F39" s="482"/>
      <c r="H39" s="24" t="s">
        <v>30</v>
      </c>
      <c r="I39" s="480" t="e">
        <f>'Maternal B'!#REF!</f>
        <v>#REF!</v>
      </c>
      <c r="J39" s="481"/>
      <c r="K39" s="481"/>
      <c r="L39" s="481"/>
      <c r="M39" s="482"/>
    </row>
    <row r="40" spans="1:13" ht="14.25" customHeight="1"/>
    <row r="41" spans="1:13" ht="14.25" customHeight="1"/>
    <row r="42" spans="1:13" ht="14.25" customHeight="1"/>
    <row r="43" spans="1:13" ht="14.25" customHeight="1"/>
    <row r="44" spans="1:13" ht="14.25" customHeight="1"/>
    <row r="45" spans="1:13" ht="14.25" customHeight="1"/>
    <row r="46" spans="1:13" ht="14.25" customHeight="1"/>
    <row r="47" spans="1:13" ht="14.25" customHeight="1"/>
    <row r="48" spans="1:1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0">
    <mergeCell ref="B1:D1"/>
    <mergeCell ref="I1:K1"/>
    <mergeCell ref="A2:F2"/>
    <mergeCell ref="H2:M2"/>
    <mergeCell ref="D3:E3"/>
    <mergeCell ref="K3:L3"/>
    <mergeCell ref="K4:M6"/>
    <mergeCell ref="D4:F6"/>
    <mergeCell ref="B7:F7"/>
    <mergeCell ref="B9:D9"/>
    <mergeCell ref="A10:F10"/>
    <mergeCell ref="D11:E11"/>
    <mergeCell ref="D12:F14"/>
    <mergeCell ref="B15:F15"/>
    <mergeCell ref="I7:M7"/>
    <mergeCell ref="I9:K9"/>
    <mergeCell ref="H10:M10"/>
    <mergeCell ref="K11:L11"/>
    <mergeCell ref="K12:M14"/>
    <mergeCell ref="I15:M15"/>
    <mergeCell ref="I17:K17"/>
    <mergeCell ref="D27:E27"/>
    <mergeCell ref="D28:F30"/>
    <mergeCell ref="B31:F31"/>
    <mergeCell ref="B33:D33"/>
    <mergeCell ref="K28:M30"/>
    <mergeCell ref="I31:M31"/>
    <mergeCell ref="I33:K33"/>
    <mergeCell ref="A34:F34"/>
    <mergeCell ref="D35:E35"/>
    <mergeCell ref="D36:F38"/>
    <mergeCell ref="B39:F39"/>
    <mergeCell ref="B17:D17"/>
    <mergeCell ref="A18:F18"/>
    <mergeCell ref="D19:E19"/>
    <mergeCell ref="D20:F22"/>
    <mergeCell ref="B23:F23"/>
    <mergeCell ref="B25:D25"/>
    <mergeCell ref="A26:F26"/>
    <mergeCell ref="H34:M34"/>
    <mergeCell ref="K35:L35"/>
    <mergeCell ref="K36:M38"/>
    <mergeCell ref="I39:M39"/>
    <mergeCell ref="H18:M18"/>
    <mergeCell ref="K19:L19"/>
    <mergeCell ref="K20:M22"/>
    <mergeCell ref="I23:M23"/>
    <mergeCell ref="I25:K25"/>
    <mergeCell ref="H26:M26"/>
    <mergeCell ref="K27:L27"/>
  </mergeCells>
  <pageMargins left="0.511811024" right="0.511811024" top="0.78740157499999996" bottom="0.78740157499999996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48135"/>
  </sheetPr>
  <dimension ref="A1:Z1005"/>
  <sheetViews>
    <sheetView workbookViewId="0">
      <selection activeCell="K1" sqref="A1:K13"/>
    </sheetView>
  </sheetViews>
  <sheetFormatPr defaultColWidth="14.44140625" defaultRowHeight="15" customHeight="1"/>
  <cols>
    <col min="1" max="1" width="28.33203125" customWidth="1"/>
    <col min="2" max="2" width="10.77734375" customWidth="1"/>
    <col min="3" max="3" width="11.109375" customWidth="1"/>
    <col min="4" max="4" width="6.88671875" customWidth="1"/>
    <col min="5" max="5" width="6.109375" customWidth="1"/>
    <col min="6" max="6" width="9.6640625" customWidth="1"/>
    <col min="7" max="7" width="8" customWidth="1"/>
    <col min="8" max="8" width="6.33203125" customWidth="1"/>
    <col min="9" max="9" width="5.6640625" customWidth="1"/>
    <col min="10" max="10" width="6.5546875" customWidth="1"/>
    <col min="11" max="11" width="16.5546875" customWidth="1"/>
    <col min="12" max="12" width="3.33203125" customWidth="1"/>
    <col min="13" max="13" width="12.5546875" customWidth="1"/>
    <col min="14" max="14" width="7.109375" customWidth="1"/>
    <col min="15" max="15" width="7.33203125" customWidth="1"/>
    <col min="16" max="26" width="9.109375" customWidth="1"/>
  </cols>
  <sheetData>
    <row r="1" spans="1:26" ht="14.25" customHeight="1">
      <c r="A1" s="498" t="s">
        <v>197</v>
      </c>
      <c r="B1" s="490"/>
      <c r="C1" s="490"/>
      <c r="D1" s="490"/>
      <c r="E1" s="490"/>
      <c r="F1" s="490"/>
      <c r="G1" s="490"/>
      <c r="H1" s="490"/>
      <c r="I1" s="490"/>
      <c r="J1" s="49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thickBot="1">
      <c r="A2" s="2"/>
      <c r="B2" s="3"/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2.4" customHeight="1">
      <c r="A3" s="142"/>
      <c r="B3" s="143" t="s">
        <v>0</v>
      </c>
      <c r="C3" s="143" t="s">
        <v>1</v>
      </c>
      <c r="D3" s="143" t="s">
        <v>2</v>
      </c>
      <c r="E3" s="143" t="s">
        <v>3</v>
      </c>
      <c r="F3" s="143" t="s">
        <v>4</v>
      </c>
      <c r="G3" s="143" t="s">
        <v>5</v>
      </c>
      <c r="H3" s="143" t="s">
        <v>6</v>
      </c>
      <c r="I3" s="143" t="s">
        <v>7</v>
      </c>
      <c r="J3" s="143" t="s">
        <v>8</v>
      </c>
      <c r="K3" s="144" t="s">
        <v>9</v>
      </c>
      <c r="L3" s="7"/>
      <c r="M3" s="8"/>
      <c r="N3" s="8" t="s">
        <v>10</v>
      </c>
      <c r="O3" s="8" t="s">
        <v>11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>
      <c r="A4" s="279" t="s">
        <v>198</v>
      </c>
      <c r="B4" s="320">
        <v>44505</v>
      </c>
      <c r="C4" s="220">
        <v>45729</v>
      </c>
      <c r="D4" s="283" t="s">
        <v>239</v>
      </c>
      <c r="E4" s="283">
        <v>16.600000000000001</v>
      </c>
      <c r="F4" s="283">
        <v>0.98</v>
      </c>
      <c r="G4" s="319">
        <f t="shared" ref="G4:G13" si="0">E4/(F4*F4)</f>
        <v>17.2844648063307</v>
      </c>
      <c r="H4" s="358" t="s">
        <v>271</v>
      </c>
      <c r="I4" s="358" t="s">
        <v>269</v>
      </c>
      <c r="J4" s="358" t="s">
        <v>275</v>
      </c>
      <c r="K4" s="359" t="s">
        <v>288</v>
      </c>
      <c r="L4" s="1"/>
      <c r="M4" s="29" t="s">
        <v>12</v>
      </c>
      <c r="N4" s="8"/>
      <c r="O4" s="8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279" t="s">
        <v>76</v>
      </c>
      <c r="B5" s="320">
        <v>44540</v>
      </c>
      <c r="C5" s="220">
        <v>45729</v>
      </c>
      <c r="D5" s="283" t="s">
        <v>242</v>
      </c>
      <c r="E5" s="283">
        <v>14.1</v>
      </c>
      <c r="F5" s="283">
        <v>0.92</v>
      </c>
      <c r="G5" s="360">
        <f t="shared" si="0"/>
        <v>16.658790170132324</v>
      </c>
      <c r="H5" s="361" t="s">
        <v>269</v>
      </c>
      <c r="I5" s="361" t="s">
        <v>274</v>
      </c>
      <c r="J5" s="361" t="s">
        <v>273</v>
      </c>
      <c r="K5" s="362" t="s">
        <v>290</v>
      </c>
      <c r="L5" s="1"/>
      <c r="M5" s="29" t="s">
        <v>13</v>
      </c>
      <c r="N5" s="8">
        <v>4</v>
      </c>
      <c r="O5" s="8">
        <v>2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356" t="s">
        <v>77</v>
      </c>
      <c r="B6" s="322">
        <v>44471</v>
      </c>
      <c r="C6" s="209">
        <v>45729</v>
      </c>
      <c r="D6" s="327" t="s">
        <v>248</v>
      </c>
      <c r="E6" s="357">
        <v>13</v>
      </c>
      <c r="F6" s="327">
        <v>0.93</v>
      </c>
      <c r="G6" s="329">
        <f t="shared" si="0"/>
        <v>15.030639380275174</v>
      </c>
      <c r="H6" s="332" t="s">
        <v>274</v>
      </c>
      <c r="I6" s="332" t="s">
        <v>273</v>
      </c>
      <c r="J6" s="330" t="s">
        <v>273</v>
      </c>
      <c r="K6" s="331" t="s">
        <v>290</v>
      </c>
      <c r="L6" s="1"/>
      <c r="M6" s="29" t="s">
        <v>15</v>
      </c>
      <c r="N6" s="8">
        <v>1</v>
      </c>
      <c r="O6" s="8">
        <v>1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321" t="s">
        <v>199</v>
      </c>
      <c r="B7" s="322">
        <v>44413</v>
      </c>
      <c r="C7" s="209">
        <v>45729</v>
      </c>
      <c r="D7" s="327" t="s">
        <v>240</v>
      </c>
      <c r="E7" s="327">
        <v>16.7</v>
      </c>
      <c r="F7" s="327">
        <v>0.99</v>
      </c>
      <c r="G7" s="329">
        <f t="shared" si="0"/>
        <v>17.039077645138249</v>
      </c>
      <c r="H7" s="330" t="s">
        <v>271</v>
      </c>
      <c r="I7" s="330" t="s">
        <v>275</v>
      </c>
      <c r="J7" s="330" t="s">
        <v>274</v>
      </c>
      <c r="K7" s="331" t="s">
        <v>288</v>
      </c>
      <c r="L7" s="1"/>
      <c r="M7" s="29" t="s">
        <v>17</v>
      </c>
      <c r="N7" s="8"/>
      <c r="O7" s="8">
        <v>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321" t="s">
        <v>200</v>
      </c>
      <c r="B8" s="322">
        <v>44418</v>
      </c>
      <c r="C8" s="209">
        <v>45729</v>
      </c>
      <c r="D8" s="327" t="s">
        <v>240</v>
      </c>
      <c r="E8" s="327">
        <v>17.7</v>
      </c>
      <c r="F8" s="327">
        <v>0.97</v>
      </c>
      <c r="G8" s="333">
        <f t="shared" si="0"/>
        <v>18.811775959188012</v>
      </c>
      <c r="H8" s="334" t="s">
        <v>282</v>
      </c>
      <c r="I8" s="334">
        <v>85</v>
      </c>
      <c r="J8" s="334" t="s">
        <v>272</v>
      </c>
      <c r="K8" s="335" t="s">
        <v>289</v>
      </c>
      <c r="L8" s="1"/>
      <c r="M8" s="29" t="s">
        <v>18</v>
      </c>
      <c r="N8" s="8">
        <f>SUM(N5:N7)</f>
        <v>5</v>
      </c>
      <c r="O8" s="8">
        <f>SUM(O5:O7)</f>
        <v>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321" t="s">
        <v>78</v>
      </c>
      <c r="B9" s="322">
        <v>44622</v>
      </c>
      <c r="C9" s="209">
        <v>45729</v>
      </c>
      <c r="D9" s="327" t="s">
        <v>244</v>
      </c>
      <c r="E9" s="327">
        <v>17.3</v>
      </c>
      <c r="F9" s="327">
        <v>0.95</v>
      </c>
      <c r="G9" s="336">
        <f t="shared" si="0"/>
        <v>19.168975069252078</v>
      </c>
      <c r="H9" s="337" t="s">
        <v>282</v>
      </c>
      <c r="I9" s="337" t="s">
        <v>271</v>
      </c>
      <c r="J9" s="337" t="s">
        <v>274</v>
      </c>
      <c r="K9" s="338" t="s">
        <v>289</v>
      </c>
      <c r="L9" s="1"/>
      <c r="M9" s="29" t="s">
        <v>19</v>
      </c>
      <c r="N9" s="198"/>
      <c r="O9" s="194">
        <f>SUM(N8:O8)</f>
        <v>10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279" t="s">
        <v>79</v>
      </c>
      <c r="B10" s="320">
        <v>44437</v>
      </c>
      <c r="C10" s="220">
        <v>45729</v>
      </c>
      <c r="D10" s="283" t="s">
        <v>249</v>
      </c>
      <c r="E10" s="283">
        <v>14.8</v>
      </c>
      <c r="F10" s="283">
        <v>0.99</v>
      </c>
      <c r="G10" s="319">
        <f t="shared" si="0"/>
        <v>15.100499948984799</v>
      </c>
      <c r="H10" s="358" t="s">
        <v>274</v>
      </c>
      <c r="I10" s="358" t="s">
        <v>274</v>
      </c>
      <c r="J10" s="358">
        <v>50</v>
      </c>
      <c r="K10" s="359" t="s">
        <v>290</v>
      </c>
      <c r="L10" s="1"/>
      <c r="M10" s="54"/>
      <c r="N10" s="55"/>
      <c r="O10" s="56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279" t="s">
        <v>201</v>
      </c>
      <c r="B11" s="320">
        <v>44332</v>
      </c>
      <c r="C11" s="220">
        <v>45729</v>
      </c>
      <c r="D11" s="283" t="s">
        <v>243</v>
      </c>
      <c r="E11" s="283">
        <v>15.2</v>
      </c>
      <c r="F11" s="283">
        <v>1.02</v>
      </c>
      <c r="G11" s="319">
        <f t="shared" si="0"/>
        <v>14.609765474817378</v>
      </c>
      <c r="H11" s="358" t="s">
        <v>274</v>
      </c>
      <c r="I11" s="358" t="s">
        <v>274</v>
      </c>
      <c r="J11" s="358" t="s">
        <v>275</v>
      </c>
      <c r="K11" s="359" t="s">
        <v>290</v>
      </c>
      <c r="L11" s="28"/>
      <c r="M11" s="57"/>
      <c r="N11" s="57"/>
      <c r="O11" s="57"/>
      <c r="P11" s="45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321" t="s">
        <v>72</v>
      </c>
      <c r="B12" s="322">
        <v>44621</v>
      </c>
      <c r="C12" s="209">
        <v>45729</v>
      </c>
      <c r="D12" s="327" t="s">
        <v>244</v>
      </c>
      <c r="E12" s="327">
        <v>16.3</v>
      </c>
      <c r="F12" s="327">
        <v>0.99</v>
      </c>
      <c r="G12" s="329">
        <f t="shared" si="0"/>
        <v>16.630956024895418</v>
      </c>
      <c r="H12" s="330" t="s">
        <v>269</v>
      </c>
      <c r="I12" s="330">
        <v>85</v>
      </c>
      <c r="J12" s="330" t="s">
        <v>269</v>
      </c>
      <c r="K12" s="331" t="s">
        <v>290</v>
      </c>
      <c r="L12" s="28"/>
      <c r="M12" s="52"/>
      <c r="N12" s="52"/>
      <c r="O12" s="52"/>
      <c r="P12" s="45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279" t="s">
        <v>80</v>
      </c>
      <c r="B13" s="320">
        <v>44400</v>
      </c>
      <c r="C13" s="220">
        <v>45729</v>
      </c>
      <c r="D13" s="283" t="s">
        <v>240</v>
      </c>
      <c r="E13" s="283">
        <v>16.3</v>
      </c>
      <c r="F13" s="283">
        <v>1.02</v>
      </c>
      <c r="G13" s="319">
        <f t="shared" si="0"/>
        <v>15.667051134179163</v>
      </c>
      <c r="H13" s="358" t="s">
        <v>275</v>
      </c>
      <c r="I13" s="358" t="s">
        <v>275</v>
      </c>
      <c r="J13" s="358" t="s">
        <v>275</v>
      </c>
      <c r="K13" s="359" t="s">
        <v>290</v>
      </c>
      <c r="L13" s="28"/>
      <c r="M13" s="52"/>
      <c r="N13" s="52"/>
      <c r="O13" s="52"/>
      <c r="P13" s="45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339"/>
      <c r="B14" s="345"/>
      <c r="C14" s="345"/>
      <c r="D14" s="323"/>
      <c r="E14" s="324"/>
      <c r="F14" s="324"/>
      <c r="G14" s="323"/>
      <c r="H14" s="342"/>
      <c r="I14" s="342"/>
      <c r="J14" s="342"/>
      <c r="K14" s="343"/>
      <c r="L14" s="28"/>
      <c r="M14" s="52"/>
      <c r="N14" s="52"/>
      <c r="O14" s="52"/>
      <c r="P14" s="45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340"/>
      <c r="B15" s="346"/>
      <c r="C15" s="347"/>
      <c r="D15" s="344"/>
      <c r="E15" s="348"/>
      <c r="F15" s="348"/>
      <c r="G15" s="344"/>
      <c r="H15" s="349"/>
      <c r="I15" s="349"/>
      <c r="J15" s="349"/>
      <c r="K15" s="350"/>
      <c r="L15" s="28"/>
      <c r="M15" s="52"/>
      <c r="N15" s="52"/>
      <c r="O15" s="52"/>
      <c r="P15" s="45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339"/>
      <c r="B16" s="345"/>
      <c r="C16" s="345"/>
      <c r="D16" s="323"/>
      <c r="E16" s="324"/>
      <c r="F16" s="324"/>
      <c r="G16" s="323"/>
      <c r="H16" s="342"/>
      <c r="I16" s="342"/>
      <c r="J16" s="325"/>
      <c r="K16" s="343"/>
      <c r="L16" s="28"/>
      <c r="M16" s="52"/>
      <c r="N16" s="52"/>
      <c r="O16" s="52"/>
      <c r="P16" s="45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thickBot="1">
      <c r="A17" s="341"/>
      <c r="B17" s="351"/>
      <c r="C17" s="351"/>
      <c r="D17" s="352"/>
      <c r="E17" s="353"/>
      <c r="F17" s="353"/>
      <c r="G17" s="352"/>
      <c r="H17" s="354"/>
      <c r="I17" s="354"/>
      <c r="J17" s="354"/>
      <c r="K17" s="355"/>
      <c r="L17" s="28"/>
      <c r="M17" s="52"/>
      <c r="N17" s="52"/>
      <c r="O17" s="52"/>
      <c r="P17" s="45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30"/>
      <c r="N18" s="30"/>
      <c r="O18" s="30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1">
    <mergeCell ref="A1:J1"/>
  </mergeCells>
  <pageMargins left="0.511811024" right="0.511811024" top="0.78740157499999996" bottom="0.78740157499999996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548135"/>
  </sheetPr>
  <dimension ref="A1:M1000"/>
  <sheetViews>
    <sheetView topLeftCell="A37" workbookViewId="0">
      <selection activeCell="H49" sqref="H49:M55"/>
    </sheetView>
  </sheetViews>
  <sheetFormatPr defaultColWidth="14.44140625" defaultRowHeight="15" customHeight="1"/>
  <cols>
    <col min="1" max="1" width="11.33203125" customWidth="1"/>
    <col min="2" max="2" width="10.77734375" bestFit="1" customWidth="1"/>
    <col min="3" max="3" width="8.6640625" customWidth="1"/>
    <col min="4" max="4" width="6.5546875" customWidth="1"/>
    <col min="5" max="5" width="5.33203125" customWidth="1"/>
    <col min="6" max="6" width="10.77734375" bestFit="1" customWidth="1"/>
    <col min="7" max="7" width="0.88671875" customWidth="1"/>
    <col min="8" max="8" width="11.33203125" customWidth="1"/>
    <col min="9" max="9" width="10.6640625" customWidth="1"/>
    <col min="10" max="10" width="10.44140625" customWidth="1"/>
    <col min="11" max="11" width="8.6640625" customWidth="1"/>
    <col min="12" max="12" width="4.88671875" customWidth="1"/>
    <col min="13" max="13" width="10.77734375" bestFit="1" customWidth="1"/>
    <col min="14" max="26" width="8.6640625" customWidth="1"/>
  </cols>
  <sheetData>
    <row r="1" spans="1:13" ht="14.25" customHeight="1">
      <c r="A1" s="145" t="s">
        <v>21</v>
      </c>
      <c r="B1" s="515" t="str">
        <f>'Maternal C'!A4</f>
        <v>Beatriz Antonella F. Real</v>
      </c>
      <c r="C1" s="516"/>
      <c r="D1" s="517"/>
      <c r="E1" s="146" t="s">
        <v>22</v>
      </c>
      <c r="F1" s="147">
        <f>'Maternal C'!B4</f>
        <v>44505</v>
      </c>
      <c r="H1" s="145" t="s">
        <v>21</v>
      </c>
      <c r="I1" s="519" t="str">
        <f>'Maternal C'!A11</f>
        <v>Maria Luiza Hobl Genaro</v>
      </c>
      <c r="J1" s="516"/>
      <c r="K1" s="517"/>
      <c r="L1" s="146" t="s">
        <v>22</v>
      </c>
      <c r="M1" s="147">
        <f>'Maternal C'!B11</f>
        <v>44332</v>
      </c>
    </row>
    <row r="2" spans="1:13" ht="14.25" customHeight="1">
      <c r="A2" s="499" t="s">
        <v>23</v>
      </c>
      <c r="B2" s="500"/>
      <c r="C2" s="500"/>
      <c r="D2" s="500"/>
      <c r="E2" s="500"/>
      <c r="F2" s="501"/>
      <c r="H2" s="499" t="s">
        <v>23</v>
      </c>
      <c r="I2" s="500"/>
      <c r="J2" s="500"/>
      <c r="K2" s="500"/>
      <c r="L2" s="500"/>
      <c r="M2" s="501"/>
    </row>
    <row r="3" spans="1:13" ht="14.25" customHeight="1">
      <c r="A3" s="148" t="s">
        <v>24</v>
      </c>
      <c r="B3" s="149">
        <f>'Maternal C'!C4</f>
        <v>45729</v>
      </c>
      <c r="C3" s="150" t="s">
        <v>25</v>
      </c>
      <c r="D3" s="502" t="s">
        <v>26</v>
      </c>
      <c r="E3" s="503"/>
      <c r="F3" s="151" t="str">
        <f>'Maternal C'!D4</f>
        <v>3a 4m</v>
      </c>
      <c r="H3" s="148" t="s">
        <v>24</v>
      </c>
      <c r="I3" s="149">
        <f>'Maternal C'!C11</f>
        <v>45729</v>
      </c>
      <c r="J3" s="150" t="s">
        <v>25</v>
      </c>
      <c r="K3" s="502" t="s">
        <v>26</v>
      </c>
      <c r="L3" s="503"/>
      <c r="M3" s="151" t="str">
        <f>'Maternal C'!D11</f>
        <v>3a 9m</v>
      </c>
    </row>
    <row r="4" spans="1:13" ht="14.25" customHeight="1">
      <c r="A4" s="152" t="s">
        <v>3</v>
      </c>
      <c r="B4" s="153">
        <f>'Maternal C'!E4</f>
        <v>16.600000000000001</v>
      </c>
      <c r="C4" s="154" t="str">
        <f>'Maternal C'!I4</f>
        <v>75-85</v>
      </c>
      <c r="D4" s="518"/>
      <c r="E4" s="505"/>
      <c r="F4" s="506"/>
      <c r="H4" s="152" t="s">
        <v>3</v>
      </c>
      <c r="I4" s="153">
        <f>'Maternal C'!E11</f>
        <v>15.2</v>
      </c>
      <c r="J4" s="154" t="str">
        <f>'Maternal C'!I11</f>
        <v>25-50</v>
      </c>
      <c r="K4" s="504"/>
      <c r="L4" s="505"/>
      <c r="M4" s="506"/>
    </row>
    <row r="5" spans="1:13" ht="14.25" customHeight="1">
      <c r="A5" s="152" t="s">
        <v>27</v>
      </c>
      <c r="B5" s="153">
        <f>'Maternal C'!F4</f>
        <v>0.98</v>
      </c>
      <c r="C5" s="154" t="str">
        <f>'Maternal C'!J4</f>
        <v>50-75</v>
      </c>
      <c r="D5" s="507"/>
      <c r="E5" s="475"/>
      <c r="F5" s="508"/>
      <c r="H5" s="152" t="s">
        <v>27</v>
      </c>
      <c r="I5" s="153">
        <f>'Maternal C'!F11</f>
        <v>1.02</v>
      </c>
      <c r="J5" s="154" t="str">
        <f>'Maternal C'!J11</f>
        <v>50-75</v>
      </c>
      <c r="K5" s="507"/>
      <c r="L5" s="475"/>
      <c r="M5" s="508"/>
    </row>
    <row r="6" spans="1:13" ht="14.25" customHeight="1">
      <c r="A6" s="152" t="s">
        <v>150</v>
      </c>
      <c r="B6" s="155">
        <f>'Maternal C'!G4</f>
        <v>17.2844648063307</v>
      </c>
      <c r="C6" s="154" t="str">
        <f>'Maternal C'!H4</f>
        <v>85-95</v>
      </c>
      <c r="D6" s="509"/>
      <c r="E6" s="510"/>
      <c r="F6" s="511"/>
      <c r="H6" s="152" t="s">
        <v>150</v>
      </c>
      <c r="I6" s="155">
        <f>'Maternal C'!G11</f>
        <v>14.609765474817378</v>
      </c>
      <c r="J6" s="154" t="str">
        <f>'Maternal C'!H11</f>
        <v>25-50</v>
      </c>
      <c r="K6" s="509"/>
      <c r="L6" s="510"/>
      <c r="M6" s="511"/>
    </row>
    <row r="7" spans="1:13" ht="29.4" thickBot="1">
      <c r="A7" s="156" t="s">
        <v>30</v>
      </c>
      <c r="B7" s="512" t="str">
        <f>'Maternal C'!K4</f>
        <v>SOBREPESO</v>
      </c>
      <c r="C7" s="513"/>
      <c r="D7" s="513"/>
      <c r="E7" s="513"/>
      <c r="F7" s="514"/>
      <c r="H7" s="156" t="s">
        <v>30</v>
      </c>
      <c r="I7" s="512" t="str">
        <f>'Maternal C'!K11</f>
        <v>ADEQUADO</v>
      </c>
      <c r="J7" s="513"/>
      <c r="K7" s="513"/>
      <c r="L7" s="513"/>
      <c r="M7" s="514"/>
    </row>
    <row r="8" spans="1:13" ht="7.5" customHeight="1" thickBot="1"/>
    <row r="9" spans="1:13" ht="14.25" customHeight="1">
      <c r="A9" s="145" t="s">
        <v>21</v>
      </c>
      <c r="B9" s="515" t="str">
        <f>'Maternal C'!A5</f>
        <v>Estela Manchini Tateo</v>
      </c>
      <c r="C9" s="516"/>
      <c r="D9" s="517"/>
      <c r="E9" s="146" t="s">
        <v>22</v>
      </c>
      <c r="F9" s="147">
        <f>'Maternal C'!B5</f>
        <v>44540</v>
      </c>
      <c r="H9" s="145" t="s">
        <v>21</v>
      </c>
      <c r="I9" s="515" t="str">
        <f>'Maternal C'!A12</f>
        <v>Pedro Teixeira Martins</v>
      </c>
      <c r="J9" s="516"/>
      <c r="K9" s="517"/>
      <c r="L9" s="146" t="s">
        <v>22</v>
      </c>
      <c r="M9" s="147">
        <f>'Maternal C'!B12</f>
        <v>44621</v>
      </c>
    </row>
    <row r="10" spans="1:13" ht="14.25" customHeight="1">
      <c r="A10" s="499" t="s">
        <v>23</v>
      </c>
      <c r="B10" s="500"/>
      <c r="C10" s="500"/>
      <c r="D10" s="500"/>
      <c r="E10" s="500"/>
      <c r="F10" s="501"/>
      <c r="H10" s="499" t="s">
        <v>23</v>
      </c>
      <c r="I10" s="500"/>
      <c r="J10" s="500"/>
      <c r="K10" s="500"/>
      <c r="L10" s="500"/>
      <c r="M10" s="501"/>
    </row>
    <row r="11" spans="1:13" ht="14.25" customHeight="1">
      <c r="A11" s="148" t="s">
        <v>24</v>
      </c>
      <c r="B11" s="149">
        <f>'Maternal C'!C5</f>
        <v>45729</v>
      </c>
      <c r="C11" s="150" t="s">
        <v>25</v>
      </c>
      <c r="D11" s="502" t="s">
        <v>26</v>
      </c>
      <c r="E11" s="503"/>
      <c r="F11" s="151" t="str">
        <f>'Maternal C'!D5</f>
        <v>3a 3m</v>
      </c>
      <c r="H11" s="148" t="s">
        <v>24</v>
      </c>
      <c r="I11" s="149">
        <f>'Maternal C'!C12</f>
        <v>45729</v>
      </c>
      <c r="J11" s="150" t="s">
        <v>25</v>
      </c>
      <c r="K11" s="502" t="s">
        <v>26</v>
      </c>
      <c r="L11" s="503"/>
      <c r="M11" s="151" t="str">
        <f>'Maternal C'!D12</f>
        <v xml:space="preserve">3a </v>
      </c>
    </row>
    <row r="12" spans="1:13" ht="14.25" customHeight="1">
      <c r="A12" s="152" t="s">
        <v>3</v>
      </c>
      <c r="B12" s="153">
        <f>'Maternal C'!E5</f>
        <v>14.1</v>
      </c>
      <c r="C12" s="154" t="str">
        <f>'Maternal C'!I5</f>
        <v>25-50</v>
      </c>
      <c r="D12" s="518"/>
      <c r="E12" s="505"/>
      <c r="F12" s="506"/>
      <c r="H12" s="152" t="s">
        <v>3</v>
      </c>
      <c r="I12" s="153">
        <f>'Maternal C'!E12</f>
        <v>16.3</v>
      </c>
      <c r="J12" s="154">
        <f>'Maternal C'!I12</f>
        <v>85</v>
      </c>
      <c r="K12" s="504"/>
      <c r="L12" s="505"/>
      <c r="M12" s="506"/>
    </row>
    <row r="13" spans="1:13" ht="14.25" customHeight="1">
      <c r="A13" s="152" t="s">
        <v>27</v>
      </c>
      <c r="B13" s="153">
        <f>'Maternal C'!F5</f>
        <v>0.92</v>
      </c>
      <c r="C13" s="154" t="str">
        <f>'Maternal C'!J5</f>
        <v>5-15.</v>
      </c>
      <c r="D13" s="507"/>
      <c r="E13" s="475"/>
      <c r="F13" s="508"/>
      <c r="H13" s="152" t="s">
        <v>27</v>
      </c>
      <c r="I13" s="153">
        <f>'Maternal C'!F12</f>
        <v>0.99</v>
      </c>
      <c r="J13" s="154" t="str">
        <f>'Maternal C'!J12</f>
        <v>75-85</v>
      </c>
      <c r="K13" s="507"/>
      <c r="L13" s="475"/>
      <c r="M13" s="508"/>
    </row>
    <row r="14" spans="1:13" ht="14.25" customHeight="1">
      <c r="A14" s="152" t="s">
        <v>150</v>
      </c>
      <c r="B14" s="155">
        <f>'Maternal C'!G5</f>
        <v>16.658790170132324</v>
      </c>
      <c r="C14" s="154" t="str">
        <f>'Maternal C'!H5</f>
        <v>75-85</v>
      </c>
      <c r="D14" s="509"/>
      <c r="E14" s="510"/>
      <c r="F14" s="511"/>
      <c r="H14" s="152" t="s">
        <v>150</v>
      </c>
      <c r="I14" s="155">
        <f>'Maternal C'!G12</f>
        <v>16.630956024895418</v>
      </c>
      <c r="J14" s="154" t="str">
        <f>'Maternal C'!H12</f>
        <v>75-85</v>
      </c>
      <c r="K14" s="509"/>
      <c r="L14" s="510"/>
      <c r="M14" s="511"/>
    </row>
    <row r="15" spans="1:13" ht="29.4" thickBot="1">
      <c r="A15" s="156" t="s">
        <v>30</v>
      </c>
      <c r="B15" s="512" t="str">
        <f>'Maternal C'!K5</f>
        <v>ADEQUADO</v>
      </c>
      <c r="C15" s="513"/>
      <c r="D15" s="513"/>
      <c r="E15" s="513"/>
      <c r="F15" s="514"/>
      <c r="H15" s="156" t="s">
        <v>30</v>
      </c>
      <c r="I15" s="512" t="str">
        <f>'Maternal C'!K12</f>
        <v>ADEQUADO</v>
      </c>
      <c r="J15" s="513"/>
      <c r="K15" s="513"/>
      <c r="L15" s="513"/>
      <c r="M15" s="514"/>
    </row>
    <row r="16" spans="1:13" ht="6" customHeight="1" thickBot="1"/>
    <row r="17" spans="1:13" ht="14.25" customHeight="1">
      <c r="A17" s="145" t="s">
        <v>21</v>
      </c>
      <c r="B17" s="515" t="str">
        <f>'Maternal C'!A6</f>
        <v>Gael Pasqualin Modesto</v>
      </c>
      <c r="C17" s="516"/>
      <c r="D17" s="517"/>
      <c r="E17" s="146" t="s">
        <v>22</v>
      </c>
      <c r="F17" s="147">
        <f>'Maternal C'!B6</f>
        <v>44471</v>
      </c>
      <c r="H17" s="145" t="s">
        <v>21</v>
      </c>
      <c r="I17" s="515" t="str">
        <f>'Maternal C'!A13</f>
        <v>Rafaela Codatto Oliani</v>
      </c>
      <c r="J17" s="516"/>
      <c r="K17" s="517"/>
      <c r="L17" s="146" t="s">
        <v>22</v>
      </c>
      <c r="M17" s="147">
        <f>'Maternal C'!B13</f>
        <v>44400</v>
      </c>
    </row>
    <row r="18" spans="1:13" ht="14.25" customHeight="1">
      <c r="A18" s="499" t="s">
        <v>23</v>
      </c>
      <c r="B18" s="500"/>
      <c r="C18" s="500"/>
      <c r="D18" s="500"/>
      <c r="E18" s="500"/>
      <c r="F18" s="501"/>
      <c r="H18" s="499" t="s">
        <v>23</v>
      </c>
      <c r="I18" s="500"/>
      <c r="J18" s="500"/>
      <c r="K18" s="500"/>
      <c r="L18" s="500"/>
      <c r="M18" s="501"/>
    </row>
    <row r="19" spans="1:13" ht="14.25" customHeight="1">
      <c r="A19" s="148" t="s">
        <v>24</v>
      </c>
      <c r="B19" s="149">
        <f>'Maternal C'!C6</f>
        <v>45729</v>
      </c>
      <c r="C19" s="150" t="s">
        <v>25</v>
      </c>
      <c r="D19" s="502" t="s">
        <v>26</v>
      </c>
      <c r="E19" s="503"/>
      <c r="F19" s="151" t="str">
        <f>'Maternal C'!D6</f>
        <v>3a 5m</v>
      </c>
      <c r="H19" s="148" t="s">
        <v>24</v>
      </c>
      <c r="I19" s="149">
        <f>'Maternal C'!C13</f>
        <v>45729</v>
      </c>
      <c r="J19" s="150" t="s">
        <v>25</v>
      </c>
      <c r="K19" s="502" t="s">
        <v>26</v>
      </c>
      <c r="L19" s="503"/>
      <c r="M19" s="151" t="str">
        <f>'Maternal C'!D13</f>
        <v>3a 7m</v>
      </c>
    </row>
    <row r="20" spans="1:13" ht="14.25" customHeight="1">
      <c r="A20" s="152" t="s">
        <v>3</v>
      </c>
      <c r="B20" s="153">
        <f>'Maternal C'!E6</f>
        <v>13</v>
      </c>
      <c r="C20" s="154" t="str">
        <f>'Maternal C'!I6</f>
        <v>5-15.</v>
      </c>
      <c r="D20" s="518"/>
      <c r="E20" s="505"/>
      <c r="F20" s="506"/>
      <c r="H20" s="152" t="s">
        <v>3</v>
      </c>
      <c r="I20" s="153">
        <f>'Maternal C'!E13</f>
        <v>16.3</v>
      </c>
      <c r="J20" s="154" t="str">
        <f>'Maternal C'!I13</f>
        <v>50-75</v>
      </c>
      <c r="K20" s="504"/>
      <c r="L20" s="505"/>
      <c r="M20" s="506"/>
    </row>
    <row r="21" spans="1:13" ht="14.25" customHeight="1">
      <c r="A21" s="152" t="s">
        <v>27</v>
      </c>
      <c r="B21" s="153">
        <f>'Maternal C'!F6</f>
        <v>0.93</v>
      </c>
      <c r="C21" s="154" t="str">
        <f>'Maternal C'!J6</f>
        <v>5-15.</v>
      </c>
      <c r="D21" s="507"/>
      <c r="E21" s="475"/>
      <c r="F21" s="508"/>
      <c r="H21" s="152" t="s">
        <v>27</v>
      </c>
      <c r="I21" s="153">
        <f>'Maternal C'!F13</f>
        <v>1.02</v>
      </c>
      <c r="J21" s="154" t="str">
        <f>'Maternal C'!J13</f>
        <v>50-75</v>
      </c>
      <c r="K21" s="507"/>
      <c r="L21" s="475"/>
      <c r="M21" s="508"/>
    </row>
    <row r="22" spans="1:13" ht="14.25" customHeight="1">
      <c r="A22" s="152" t="s">
        <v>150</v>
      </c>
      <c r="B22" s="155">
        <f>'Maternal C'!G6</f>
        <v>15.030639380275174</v>
      </c>
      <c r="C22" s="154" t="str">
        <f>'Maternal C'!H6</f>
        <v>25-50</v>
      </c>
      <c r="D22" s="509"/>
      <c r="E22" s="510"/>
      <c r="F22" s="511"/>
      <c r="H22" s="152" t="s">
        <v>150</v>
      </c>
      <c r="I22" s="155">
        <f>'Maternal C'!G13</f>
        <v>15.667051134179163</v>
      </c>
      <c r="J22" s="154" t="str">
        <f>'Maternal C'!H13</f>
        <v>50-75</v>
      </c>
      <c r="K22" s="509"/>
      <c r="L22" s="510"/>
      <c r="M22" s="511"/>
    </row>
    <row r="23" spans="1:13" ht="29.4" thickBot="1">
      <c r="A23" s="156" t="s">
        <v>30</v>
      </c>
      <c r="B23" s="512" t="str">
        <f>'Maternal C'!K6</f>
        <v>ADEQUADO</v>
      </c>
      <c r="C23" s="513"/>
      <c r="D23" s="513"/>
      <c r="E23" s="513"/>
      <c r="F23" s="514"/>
      <c r="H23" s="156" t="s">
        <v>30</v>
      </c>
      <c r="I23" s="512" t="str">
        <f>'Maternal C'!K13</f>
        <v>ADEQUADO</v>
      </c>
      <c r="J23" s="513"/>
      <c r="K23" s="513"/>
      <c r="L23" s="513"/>
      <c r="M23" s="514"/>
    </row>
    <row r="24" spans="1:13" ht="8.25" customHeight="1" thickBot="1"/>
    <row r="25" spans="1:13" ht="14.25" customHeight="1">
      <c r="A25" s="145" t="s">
        <v>21</v>
      </c>
      <c r="B25" s="515" t="str">
        <f>'Maternal C'!A7</f>
        <v>João Victor C. de Morais</v>
      </c>
      <c r="C25" s="516"/>
      <c r="D25" s="517"/>
      <c r="E25" s="146" t="s">
        <v>22</v>
      </c>
      <c r="F25" s="147">
        <f>'Maternal C'!B7</f>
        <v>44413</v>
      </c>
      <c r="H25" s="145" t="s">
        <v>21</v>
      </c>
      <c r="I25" s="515">
        <f>'Maternal C'!A14</f>
        <v>0</v>
      </c>
      <c r="J25" s="516"/>
      <c r="K25" s="517"/>
      <c r="L25" s="146" t="s">
        <v>22</v>
      </c>
      <c r="M25" s="147">
        <f>'Maternal C'!B14</f>
        <v>0</v>
      </c>
    </row>
    <row r="26" spans="1:13" ht="14.25" customHeight="1">
      <c r="A26" s="499" t="s">
        <v>23</v>
      </c>
      <c r="B26" s="500"/>
      <c r="C26" s="500"/>
      <c r="D26" s="500"/>
      <c r="E26" s="500"/>
      <c r="F26" s="501"/>
      <c r="H26" s="499" t="s">
        <v>23</v>
      </c>
      <c r="I26" s="500"/>
      <c r="J26" s="500"/>
      <c r="K26" s="500"/>
      <c r="L26" s="500"/>
      <c r="M26" s="501"/>
    </row>
    <row r="27" spans="1:13" ht="14.25" customHeight="1">
      <c r="A27" s="148" t="s">
        <v>24</v>
      </c>
      <c r="B27" s="149">
        <f>'Maternal C'!C7</f>
        <v>45729</v>
      </c>
      <c r="C27" s="150" t="s">
        <v>25</v>
      </c>
      <c r="D27" s="502" t="s">
        <v>26</v>
      </c>
      <c r="E27" s="503"/>
      <c r="F27" s="151" t="str">
        <f>'Maternal C'!D7</f>
        <v>3a 7m</v>
      </c>
      <c r="H27" s="148" t="s">
        <v>24</v>
      </c>
      <c r="I27" s="149">
        <f>'Maternal C'!C14</f>
        <v>0</v>
      </c>
      <c r="J27" s="150" t="s">
        <v>25</v>
      </c>
      <c r="K27" s="502" t="s">
        <v>26</v>
      </c>
      <c r="L27" s="503"/>
      <c r="M27" s="151">
        <f>'Maternal C'!D14</f>
        <v>0</v>
      </c>
    </row>
    <row r="28" spans="1:13" ht="14.25" customHeight="1">
      <c r="A28" s="152" t="s">
        <v>3</v>
      </c>
      <c r="B28" s="153">
        <f>'Maternal C'!E7</f>
        <v>16.7</v>
      </c>
      <c r="C28" s="154" t="str">
        <f>'Maternal C'!I7</f>
        <v>50-75</v>
      </c>
      <c r="D28" s="518"/>
      <c r="E28" s="505"/>
      <c r="F28" s="506"/>
      <c r="H28" s="152" t="s">
        <v>3</v>
      </c>
      <c r="I28" s="153">
        <f>'Maternal C'!E14</f>
        <v>0</v>
      </c>
      <c r="J28" s="154">
        <f>'Maternal C'!I14</f>
        <v>0</v>
      </c>
      <c r="K28" s="504"/>
      <c r="L28" s="505"/>
      <c r="M28" s="506"/>
    </row>
    <row r="29" spans="1:13" ht="14.25" customHeight="1">
      <c r="A29" s="152" t="s">
        <v>27</v>
      </c>
      <c r="B29" s="155">
        <f>'Maternal C'!F7</f>
        <v>0.99</v>
      </c>
      <c r="C29" s="154" t="str">
        <f>'Maternal C'!J7</f>
        <v>25-50</v>
      </c>
      <c r="D29" s="507"/>
      <c r="E29" s="475"/>
      <c r="F29" s="508"/>
      <c r="H29" s="152" t="s">
        <v>27</v>
      </c>
      <c r="I29" s="153">
        <f>'Maternal C'!F14</f>
        <v>0</v>
      </c>
      <c r="J29" s="154">
        <f>'Maternal C'!J14</f>
        <v>0</v>
      </c>
      <c r="K29" s="507"/>
      <c r="L29" s="475"/>
      <c r="M29" s="508"/>
    </row>
    <row r="30" spans="1:13" ht="14.25" customHeight="1">
      <c r="A30" s="152" t="s">
        <v>150</v>
      </c>
      <c r="B30" s="155">
        <f>'Maternal C'!G7</f>
        <v>17.039077645138249</v>
      </c>
      <c r="C30" s="154" t="str">
        <f>'Maternal C'!H7</f>
        <v>85-95</v>
      </c>
      <c r="D30" s="509"/>
      <c r="E30" s="510"/>
      <c r="F30" s="511"/>
      <c r="H30" s="152" t="s">
        <v>150</v>
      </c>
      <c r="I30" s="155">
        <f>'Maternal C'!G14</f>
        <v>0</v>
      </c>
      <c r="J30" s="154">
        <f>'Maternal C'!H14</f>
        <v>0</v>
      </c>
      <c r="K30" s="509"/>
      <c r="L30" s="510"/>
      <c r="M30" s="511"/>
    </row>
    <row r="31" spans="1:13" ht="29.4" thickBot="1">
      <c r="A31" s="156" t="s">
        <v>30</v>
      </c>
      <c r="B31" s="512" t="str">
        <f>'Maternal C'!K7</f>
        <v>SOBREPESO</v>
      </c>
      <c r="C31" s="513"/>
      <c r="D31" s="513"/>
      <c r="E31" s="513"/>
      <c r="F31" s="514"/>
      <c r="H31" s="156" t="s">
        <v>30</v>
      </c>
      <c r="I31" s="512">
        <f>'Maternal C'!K14</f>
        <v>0</v>
      </c>
      <c r="J31" s="513"/>
      <c r="K31" s="513"/>
      <c r="L31" s="513"/>
      <c r="M31" s="514"/>
    </row>
    <row r="32" spans="1:13" ht="9" customHeight="1" thickBot="1"/>
    <row r="33" spans="1:13" ht="14.25" customHeight="1">
      <c r="A33" s="145" t="s">
        <v>21</v>
      </c>
      <c r="B33" s="515" t="str">
        <f>'Maternal C'!A8</f>
        <v>Kael H. de P.Watanabe</v>
      </c>
      <c r="C33" s="516"/>
      <c r="D33" s="517"/>
      <c r="E33" s="146" t="s">
        <v>22</v>
      </c>
      <c r="F33" s="147">
        <f>'Maternal C'!B8</f>
        <v>44418</v>
      </c>
      <c r="H33" s="145" t="s">
        <v>21</v>
      </c>
      <c r="I33" s="515">
        <f>'Maternal C'!A15</f>
        <v>0</v>
      </c>
      <c r="J33" s="516"/>
      <c r="K33" s="517"/>
      <c r="L33" s="146" t="s">
        <v>22</v>
      </c>
      <c r="M33" s="147">
        <f>'Maternal C'!B15</f>
        <v>0</v>
      </c>
    </row>
    <row r="34" spans="1:13" ht="14.25" customHeight="1">
      <c r="A34" s="499" t="s">
        <v>23</v>
      </c>
      <c r="B34" s="500"/>
      <c r="C34" s="500"/>
      <c r="D34" s="500"/>
      <c r="E34" s="500"/>
      <c r="F34" s="501"/>
      <c r="H34" s="499" t="s">
        <v>23</v>
      </c>
      <c r="I34" s="500"/>
      <c r="J34" s="500"/>
      <c r="K34" s="500"/>
      <c r="L34" s="500"/>
      <c r="M34" s="501"/>
    </row>
    <row r="35" spans="1:13" ht="14.25" customHeight="1">
      <c r="A35" s="148" t="s">
        <v>24</v>
      </c>
      <c r="B35" s="149">
        <f>'Maternal C'!C8</f>
        <v>45729</v>
      </c>
      <c r="C35" s="150" t="s">
        <v>25</v>
      </c>
      <c r="D35" s="502" t="s">
        <v>26</v>
      </c>
      <c r="E35" s="503"/>
      <c r="F35" s="151" t="str">
        <f>'Maternal C'!D8</f>
        <v>3a 7m</v>
      </c>
      <c r="H35" s="148" t="s">
        <v>24</v>
      </c>
      <c r="I35" s="149">
        <f>'Maternal C'!C15</f>
        <v>0</v>
      </c>
      <c r="J35" s="150" t="s">
        <v>25</v>
      </c>
      <c r="K35" s="502" t="s">
        <v>26</v>
      </c>
      <c r="L35" s="503"/>
      <c r="M35" s="151">
        <f>'Maternal C'!D15</f>
        <v>0</v>
      </c>
    </row>
    <row r="36" spans="1:13" ht="14.25" customHeight="1">
      <c r="A36" s="152" t="s">
        <v>3</v>
      </c>
      <c r="B36" s="153">
        <f>'Maternal C'!E8</f>
        <v>17.7</v>
      </c>
      <c r="C36" s="154">
        <f>'Maternal C'!I8</f>
        <v>85</v>
      </c>
      <c r="D36" s="518"/>
      <c r="E36" s="505"/>
      <c r="F36" s="506"/>
      <c r="H36" s="152" t="s">
        <v>3</v>
      </c>
      <c r="I36" s="153">
        <f>'Maternal C'!E15</f>
        <v>0</v>
      </c>
      <c r="J36" s="154">
        <f>'Maternal C'!I15</f>
        <v>0</v>
      </c>
      <c r="K36" s="504"/>
      <c r="L36" s="505"/>
      <c r="M36" s="506"/>
    </row>
    <row r="37" spans="1:13" ht="14.25" customHeight="1">
      <c r="A37" s="152" t="s">
        <v>27</v>
      </c>
      <c r="B37" s="153">
        <f>'Maternal C'!F8</f>
        <v>0.97</v>
      </c>
      <c r="C37" s="154" t="str">
        <f>'Maternal C'!J8</f>
        <v>15-25</v>
      </c>
      <c r="D37" s="507"/>
      <c r="E37" s="475"/>
      <c r="F37" s="508"/>
      <c r="H37" s="152" t="s">
        <v>27</v>
      </c>
      <c r="I37" s="153">
        <f>'Maternal C'!F15</f>
        <v>0</v>
      </c>
      <c r="J37" s="154">
        <f>'Maternal C'!J15</f>
        <v>0</v>
      </c>
      <c r="K37" s="507"/>
      <c r="L37" s="475"/>
      <c r="M37" s="508"/>
    </row>
    <row r="38" spans="1:13" ht="14.25" customHeight="1">
      <c r="A38" s="152" t="s">
        <v>150</v>
      </c>
      <c r="B38" s="155">
        <f>'Maternal C'!G8</f>
        <v>18.811775959188012</v>
      </c>
      <c r="C38" s="154" t="str">
        <f>'Maternal C'!H8</f>
        <v>&gt; 99</v>
      </c>
      <c r="D38" s="509"/>
      <c r="E38" s="510"/>
      <c r="F38" s="511"/>
      <c r="H38" s="152" t="s">
        <v>150</v>
      </c>
      <c r="I38" s="155">
        <f>'Maternal C'!G15</f>
        <v>0</v>
      </c>
      <c r="J38" s="154">
        <f>'Maternal C'!H15</f>
        <v>0</v>
      </c>
      <c r="K38" s="509"/>
      <c r="L38" s="510"/>
      <c r="M38" s="511"/>
    </row>
    <row r="39" spans="1:13" ht="29.4" thickBot="1">
      <c r="A39" s="156" t="s">
        <v>30</v>
      </c>
      <c r="B39" s="512" t="str">
        <f>'Maternal C'!K8</f>
        <v>OBESIDADE</v>
      </c>
      <c r="C39" s="513"/>
      <c r="D39" s="513"/>
      <c r="E39" s="513"/>
      <c r="F39" s="514"/>
      <c r="H39" s="156" t="s">
        <v>30</v>
      </c>
      <c r="I39" s="512">
        <f>'Maternal C'!K15</f>
        <v>0</v>
      </c>
      <c r="J39" s="513"/>
      <c r="K39" s="513"/>
      <c r="L39" s="513"/>
      <c r="M39" s="514"/>
    </row>
    <row r="40" spans="1:13" ht="14.25" customHeight="1" thickBot="1"/>
    <row r="41" spans="1:13" ht="14.25" customHeight="1">
      <c r="A41" s="145" t="s">
        <v>21</v>
      </c>
      <c r="B41" s="515" t="str">
        <f>'Maternal C'!A9</f>
        <v>Lucas Silvestre Moita</v>
      </c>
      <c r="C41" s="516"/>
      <c r="D41" s="517"/>
      <c r="E41" s="146" t="s">
        <v>22</v>
      </c>
      <c r="F41" s="147">
        <f>'Maternal C'!B9</f>
        <v>44622</v>
      </c>
      <c r="H41" s="145" t="s">
        <v>21</v>
      </c>
      <c r="I41" s="515">
        <f>'Maternal C'!A16</f>
        <v>0</v>
      </c>
      <c r="J41" s="516"/>
      <c r="K41" s="517"/>
      <c r="L41" s="146" t="s">
        <v>22</v>
      </c>
      <c r="M41" s="147">
        <f>'Maternal C'!B16</f>
        <v>0</v>
      </c>
    </row>
    <row r="42" spans="1:13" ht="14.25" customHeight="1">
      <c r="A42" s="499" t="s">
        <v>23</v>
      </c>
      <c r="B42" s="500"/>
      <c r="C42" s="500"/>
      <c r="D42" s="500"/>
      <c r="E42" s="500"/>
      <c r="F42" s="501"/>
      <c r="H42" s="499" t="s">
        <v>23</v>
      </c>
      <c r="I42" s="500"/>
      <c r="J42" s="500"/>
      <c r="K42" s="500"/>
      <c r="L42" s="500"/>
      <c r="M42" s="501"/>
    </row>
    <row r="43" spans="1:13" ht="14.25" customHeight="1">
      <c r="A43" s="148" t="s">
        <v>24</v>
      </c>
      <c r="B43" s="149">
        <f>'Maternal C'!C9</f>
        <v>45729</v>
      </c>
      <c r="C43" s="150" t="s">
        <v>25</v>
      </c>
      <c r="D43" s="502" t="s">
        <v>26</v>
      </c>
      <c r="E43" s="503"/>
      <c r="F43" s="151" t="str">
        <f>'Maternal C'!D9</f>
        <v xml:space="preserve">3a </v>
      </c>
      <c r="H43" s="148" t="s">
        <v>24</v>
      </c>
      <c r="I43" s="149">
        <f>'Maternal C'!C16</f>
        <v>0</v>
      </c>
      <c r="J43" s="150" t="s">
        <v>25</v>
      </c>
      <c r="K43" s="502" t="s">
        <v>26</v>
      </c>
      <c r="L43" s="503"/>
      <c r="M43" s="151">
        <f>'Maternal C'!D16</f>
        <v>0</v>
      </c>
    </row>
    <row r="44" spans="1:13" ht="14.25" customHeight="1">
      <c r="A44" s="152" t="s">
        <v>3</v>
      </c>
      <c r="B44" s="153">
        <f>'Maternal C'!E9</f>
        <v>17.3</v>
      </c>
      <c r="C44" s="154" t="str">
        <f>'Maternal C'!I9</f>
        <v>85-95</v>
      </c>
      <c r="D44" s="518"/>
      <c r="E44" s="505"/>
      <c r="F44" s="506"/>
      <c r="H44" s="152" t="s">
        <v>3</v>
      </c>
      <c r="I44" s="153">
        <f>'Maternal C'!E16</f>
        <v>0</v>
      </c>
      <c r="J44" s="154">
        <f>'Maternal C'!I16</f>
        <v>0</v>
      </c>
      <c r="K44" s="504"/>
      <c r="L44" s="505"/>
      <c r="M44" s="506"/>
    </row>
    <row r="45" spans="1:13" ht="14.25" customHeight="1">
      <c r="A45" s="152" t="s">
        <v>27</v>
      </c>
      <c r="B45" s="155">
        <f>'Maternal C'!F9</f>
        <v>0.95</v>
      </c>
      <c r="C45" s="154" t="str">
        <f>'Maternal C'!J9</f>
        <v>25-50</v>
      </c>
      <c r="D45" s="507"/>
      <c r="E45" s="475"/>
      <c r="F45" s="508"/>
      <c r="H45" s="152" t="s">
        <v>27</v>
      </c>
      <c r="I45" s="153">
        <f>'Maternal C'!F16</f>
        <v>0</v>
      </c>
      <c r="J45" s="154">
        <f>'Maternal C'!J16</f>
        <v>0</v>
      </c>
      <c r="K45" s="507"/>
      <c r="L45" s="475"/>
      <c r="M45" s="508"/>
    </row>
    <row r="46" spans="1:13" ht="14.25" customHeight="1">
      <c r="A46" s="152" t="s">
        <v>150</v>
      </c>
      <c r="B46" s="155">
        <f>'Maternal C'!G9</f>
        <v>19.168975069252078</v>
      </c>
      <c r="C46" s="154" t="str">
        <f>'Maternal C'!H9</f>
        <v>&gt; 99</v>
      </c>
      <c r="D46" s="509"/>
      <c r="E46" s="510"/>
      <c r="F46" s="511"/>
      <c r="H46" s="152" t="s">
        <v>150</v>
      </c>
      <c r="I46" s="155">
        <f>'Maternal C'!G16</f>
        <v>0</v>
      </c>
      <c r="J46" s="154">
        <f>'Maternal C'!H16</f>
        <v>0</v>
      </c>
      <c r="K46" s="509"/>
      <c r="L46" s="510"/>
      <c r="M46" s="511"/>
    </row>
    <row r="47" spans="1:13" ht="29.4" thickBot="1">
      <c r="A47" s="156" t="s">
        <v>30</v>
      </c>
      <c r="B47" s="512" t="str">
        <f>'Maternal C'!K9</f>
        <v>OBESIDADE</v>
      </c>
      <c r="C47" s="513"/>
      <c r="D47" s="513"/>
      <c r="E47" s="513"/>
      <c r="F47" s="514"/>
      <c r="H47" s="156" t="s">
        <v>30</v>
      </c>
      <c r="I47" s="512">
        <f>'Maternal C'!K16</f>
        <v>0</v>
      </c>
      <c r="J47" s="513"/>
      <c r="K47" s="513"/>
      <c r="L47" s="513"/>
      <c r="M47" s="514"/>
    </row>
    <row r="48" spans="1:13" ht="14.25" customHeight="1" thickBot="1"/>
    <row r="49" spans="1:13" ht="14.25" customHeight="1">
      <c r="A49" s="145" t="s">
        <v>21</v>
      </c>
      <c r="B49" s="515" t="str">
        <f>'Maternal C'!A10</f>
        <v>Luísa Miotto Sant'Anna</v>
      </c>
      <c r="C49" s="516"/>
      <c r="D49" s="517"/>
      <c r="E49" s="146" t="s">
        <v>22</v>
      </c>
      <c r="F49" s="147">
        <f>'Maternal C'!B10</f>
        <v>44437</v>
      </c>
      <c r="H49" s="145" t="s">
        <v>21</v>
      </c>
      <c r="I49" s="515">
        <f>'Maternal C'!A17</f>
        <v>0</v>
      </c>
      <c r="J49" s="516"/>
      <c r="K49" s="517"/>
      <c r="L49" s="146" t="s">
        <v>22</v>
      </c>
      <c r="M49" s="147">
        <f>'Maternal C'!B17</f>
        <v>0</v>
      </c>
    </row>
    <row r="50" spans="1:13" ht="14.25" customHeight="1">
      <c r="A50" s="499" t="s">
        <v>23</v>
      </c>
      <c r="B50" s="500"/>
      <c r="C50" s="500"/>
      <c r="D50" s="500"/>
      <c r="E50" s="500"/>
      <c r="F50" s="501"/>
      <c r="H50" s="499" t="s">
        <v>23</v>
      </c>
      <c r="I50" s="500"/>
      <c r="J50" s="500"/>
      <c r="K50" s="500"/>
      <c r="L50" s="500"/>
      <c r="M50" s="501"/>
    </row>
    <row r="51" spans="1:13" ht="14.25" customHeight="1">
      <c r="A51" s="148" t="s">
        <v>24</v>
      </c>
      <c r="B51" s="149">
        <f>'Maternal C'!C10</f>
        <v>45729</v>
      </c>
      <c r="C51" s="150" t="s">
        <v>25</v>
      </c>
      <c r="D51" s="502" t="s">
        <v>26</v>
      </c>
      <c r="E51" s="503"/>
      <c r="F51" s="151" t="str">
        <f>'Maternal C'!D10</f>
        <v>3a 6m</v>
      </c>
      <c r="H51" s="148" t="s">
        <v>24</v>
      </c>
      <c r="I51" s="149">
        <f>'Maternal C'!C17</f>
        <v>0</v>
      </c>
      <c r="J51" s="150" t="s">
        <v>25</v>
      </c>
      <c r="K51" s="502" t="s">
        <v>26</v>
      </c>
      <c r="L51" s="503"/>
      <c r="M51" s="151">
        <f>'Maternal C'!D17</f>
        <v>0</v>
      </c>
    </row>
    <row r="52" spans="1:13" ht="14.25" customHeight="1">
      <c r="A52" s="152" t="s">
        <v>3</v>
      </c>
      <c r="B52" s="153">
        <f>'Maternal C'!E10</f>
        <v>14.8</v>
      </c>
      <c r="C52" s="154" t="str">
        <f>'Maternal C'!I10</f>
        <v>25-50</v>
      </c>
      <c r="D52" s="518"/>
      <c r="E52" s="505"/>
      <c r="F52" s="506"/>
      <c r="H52" s="152" t="s">
        <v>3</v>
      </c>
      <c r="I52" s="153">
        <f>'Maternal C'!E17</f>
        <v>0</v>
      </c>
      <c r="J52" s="154">
        <f>'Maternal C'!I17</f>
        <v>0</v>
      </c>
      <c r="K52" s="504"/>
      <c r="L52" s="505"/>
      <c r="M52" s="506"/>
    </row>
    <row r="53" spans="1:13" ht="14.25" customHeight="1">
      <c r="A53" s="152" t="s">
        <v>27</v>
      </c>
      <c r="B53" s="153">
        <f>'Maternal C'!F10</f>
        <v>0.99</v>
      </c>
      <c r="C53" s="154">
        <f>'Maternal C'!J10</f>
        <v>50</v>
      </c>
      <c r="D53" s="507"/>
      <c r="E53" s="475"/>
      <c r="F53" s="508"/>
      <c r="H53" s="152" t="s">
        <v>27</v>
      </c>
      <c r="I53" s="153">
        <f>'Maternal C'!F17</f>
        <v>0</v>
      </c>
      <c r="J53" s="154">
        <f>'Maternal C'!J17</f>
        <v>0</v>
      </c>
      <c r="K53" s="507"/>
      <c r="L53" s="475"/>
      <c r="M53" s="508"/>
    </row>
    <row r="54" spans="1:13" ht="14.25" customHeight="1">
      <c r="A54" s="152" t="s">
        <v>150</v>
      </c>
      <c r="B54" s="155">
        <f>'Maternal C'!G10</f>
        <v>15.100499948984799</v>
      </c>
      <c r="C54" s="154" t="str">
        <f>'Maternal C'!H10</f>
        <v>25-50</v>
      </c>
      <c r="D54" s="509"/>
      <c r="E54" s="510"/>
      <c r="F54" s="511"/>
      <c r="H54" s="152" t="s">
        <v>150</v>
      </c>
      <c r="I54" s="155">
        <f>'Maternal C'!G17</f>
        <v>0</v>
      </c>
      <c r="J54" s="154">
        <f>'Maternal C'!H17</f>
        <v>0</v>
      </c>
      <c r="K54" s="509"/>
      <c r="L54" s="510"/>
      <c r="M54" s="511"/>
    </row>
    <row r="55" spans="1:13" ht="29.4" thickBot="1">
      <c r="A55" s="156" t="s">
        <v>30</v>
      </c>
      <c r="B55" s="512" t="str">
        <f>'Maternal C'!K10</f>
        <v>ADEQUADO</v>
      </c>
      <c r="C55" s="513"/>
      <c r="D55" s="513"/>
      <c r="E55" s="513"/>
      <c r="F55" s="514"/>
      <c r="H55" s="156" t="s">
        <v>30</v>
      </c>
      <c r="I55" s="512">
        <f>'Maternal C'!K17</f>
        <v>0</v>
      </c>
      <c r="J55" s="513"/>
      <c r="K55" s="513"/>
      <c r="L55" s="513"/>
      <c r="M55" s="514"/>
    </row>
    <row r="56" spans="1:13" ht="14.25" customHeight="1"/>
    <row r="57" spans="1:13" ht="14.25" customHeight="1"/>
    <row r="58" spans="1:13" ht="14.25" customHeight="1"/>
    <row r="59" spans="1:13" ht="14.25" customHeight="1"/>
    <row r="60" spans="1:13" ht="14.25" customHeight="1"/>
    <row r="61" spans="1:13" ht="14.25" customHeight="1"/>
    <row r="62" spans="1:13" ht="14.25" customHeight="1"/>
    <row r="63" spans="1:13" ht="14.25" customHeight="1"/>
    <row r="64" spans="1:1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0">
    <mergeCell ref="B55:F55"/>
    <mergeCell ref="I55:M55"/>
    <mergeCell ref="A50:F50"/>
    <mergeCell ref="H50:M50"/>
    <mergeCell ref="D51:E51"/>
    <mergeCell ref="K51:L51"/>
    <mergeCell ref="D52:F54"/>
    <mergeCell ref="K52:M54"/>
    <mergeCell ref="D44:F46"/>
    <mergeCell ref="K44:M46"/>
    <mergeCell ref="B47:F47"/>
    <mergeCell ref="I47:M47"/>
    <mergeCell ref="B49:D49"/>
    <mergeCell ref="I49:K49"/>
    <mergeCell ref="B41:D41"/>
    <mergeCell ref="I41:K41"/>
    <mergeCell ref="A42:F42"/>
    <mergeCell ref="H42:M42"/>
    <mergeCell ref="D43:E43"/>
    <mergeCell ref="K43:L43"/>
    <mergeCell ref="B33:D33"/>
    <mergeCell ref="A34:F34"/>
    <mergeCell ref="D35:E35"/>
    <mergeCell ref="D36:F38"/>
    <mergeCell ref="B39:F39"/>
    <mergeCell ref="B1:D1"/>
    <mergeCell ref="I1:K1"/>
    <mergeCell ref="A2:F2"/>
    <mergeCell ref="H2:M2"/>
    <mergeCell ref="D3:E3"/>
    <mergeCell ref="K3:L3"/>
    <mergeCell ref="K4:M6"/>
    <mergeCell ref="D4:F6"/>
    <mergeCell ref="B7:F7"/>
    <mergeCell ref="B9:D9"/>
    <mergeCell ref="A10:F10"/>
    <mergeCell ref="D11:E11"/>
    <mergeCell ref="D12:F14"/>
    <mergeCell ref="B15:F15"/>
    <mergeCell ref="I7:M7"/>
    <mergeCell ref="I9:K9"/>
    <mergeCell ref="H10:M10"/>
    <mergeCell ref="K11:L11"/>
    <mergeCell ref="K12:M14"/>
    <mergeCell ref="I15:M15"/>
    <mergeCell ref="D27:E27"/>
    <mergeCell ref="D28:F30"/>
    <mergeCell ref="B31:F31"/>
    <mergeCell ref="B17:D17"/>
    <mergeCell ref="A18:F18"/>
    <mergeCell ref="D19:E19"/>
    <mergeCell ref="D20:F22"/>
    <mergeCell ref="B23:F23"/>
    <mergeCell ref="B25:D25"/>
    <mergeCell ref="A26:F26"/>
    <mergeCell ref="H34:M34"/>
    <mergeCell ref="K35:L35"/>
    <mergeCell ref="K36:M38"/>
    <mergeCell ref="I39:M39"/>
    <mergeCell ref="I17:K17"/>
    <mergeCell ref="K28:M30"/>
    <mergeCell ref="I31:M31"/>
    <mergeCell ref="H18:M18"/>
    <mergeCell ref="K19:L19"/>
    <mergeCell ref="K20:M22"/>
    <mergeCell ref="I23:M23"/>
    <mergeCell ref="I25:K25"/>
    <mergeCell ref="H26:M26"/>
    <mergeCell ref="K27:L27"/>
    <mergeCell ref="I33:K33"/>
  </mergeCells>
  <pageMargins left="0.511811024" right="0.511811024" top="0.78740157499999996" bottom="0.78740157499999996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7CAAC"/>
  </sheetPr>
  <dimension ref="A1:Z1002"/>
  <sheetViews>
    <sheetView topLeftCell="A19" workbookViewId="0">
      <selection sqref="A1:K11"/>
    </sheetView>
  </sheetViews>
  <sheetFormatPr defaultColWidth="14.44140625" defaultRowHeight="15" customHeight="1"/>
  <cols>
    <col min="1" max="1" width="31.21875" style="162" customWidth="1"/>
    <col min="2" max="3" width="11" style="162" customWidth="1"/>
    <col min="4" max="4" width="8.21875" style="162" customWidth="1"/>
    <col min="5" max="5" width="8.77734375" style="162" customWidth="1"/>
    <col min="6" max="6" width="9.5546875" style="162" customWidth="1"/>
    <col min="7" max="7" width="8" style="162" customWidth="1"/>
    <col min="8" max="8" width="6.33203125" style="162" customWidth="1"/>
    <col min="9" max="9" width="6.44140625" style="162" customWidth="1"/>
    <col min="10" max="10" width="6" style="162" customWidth="1"/>
    <col min="11" max="11" width="14.88671875" style="162" customWidth="1"/>
    <col min="12" max="12" width="3.33203125" style="162" customWidth="1"/>
    <col min="13" max="13" width="11.109375" style="162" customWidth="1"/>
    <col min="14" max="14" width="7.5546875" style="162" customWidth="1"/>
    <col min="15" max="15" width="9.88671875" style="162" customWidth="1"/>
    <col min="16" max="26" width="9.109375" style="162" customWidth="1"/>
    <col min="27" max="16384" width="14.44140625" style="162"/>
  </cols>
  <sheetData>
    <row r="1" spans="1:26" ht="14.25" customHeight="1">
      <c r="A1" s="520" t="s">
        <v>204</v>
      </c>
      <c r="B1" s="521"/>
      <c r="C1" s="521"/>
      <c r="D1" s="521"/>
      <c r="E1" s="521"/>
      <c r="F1" s="521"/>
      <c r="G1" s="521"/>
      <c r="H1" s="521"/>
      <c r="I1" s="521"/>
      <c r="J1" s="522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</row>
    <row r="2" spans="1:26" ht="14.25" customHeight="1" thickBot="1">
      <c r="A2" s="163"/>
      <c r="B2" s="164"/>
      <c r="C2" s="164"/>
      <c r="D2" s="164"/>
      <c r="E2" s="164"/>
      <c r="F2" s="164"/>
      <c r="G2" s="164"/>
      <c r="H2" s="164"/>
      <c r="I2" s="164"/>
      <c r="J2" s="165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</row>
    <row r="3" spans="1:26" ht="28.2" customHeight="1">
      <c r="A3" s="166"/>
      <c r="B3" s="167" t="s">
        <v>0</v>
      </c>
      <c r="C3" s="167" t="s">
        <v>1</v>
      </c>
      <c r="D3" s="167" t="s">
        <v>2</v>
      </c>
      <c r="E3" s="167" t="s">
        <v>3</v>
      </c>
      <c r="F3" s="167" t="s">
        <v>4</v>
      </c>
      <c r="G3" s="167" t="s">
        <v>151</v>
      </c>
      <c r="H3" s="167" t="s">
        <v>6</v>
      </c>
      <c r="I3" s="167" t="s">
        <v>7</v>
      </c>
      <c r="J3" s="167" t="s">
        <v>8</v>
      </c>
      <c r="K3" s="168" t="s">
        <v>9</v>
      </c>
      <c r="L3" s="169"/>
      <c r="M3" s="175"/>
      <c r="N3" s="176" t="s">
        <v>10</v>
      </c>
      <c r="O3" s="177" t="s">
        <v>11</v>
      </c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</row>
    <row r="4" spans="1:26" ht="14.25" customHeight="1">
      <c r="A4" s="289" t="s">
        <v>81</v>
      </c>
      <c r="B4" s="261">
        <v>44215</v>
      </c>
      <c r="C4" s="209">
        <v>45729</v>
      </c>
      <c r="D4" s="273" t="s">
        <v>250</v>
      </c>
      <c r="E4" s="273">
        <v>18.7</v>
      </c>
      <c r="F4" s="273">
        <v>1.1100000000000001</v>
      </c>
      <c r="G4" s="210">
        <f t="shared" ref="G4:G11" si="0">E4/(F4*F4)</f>
        <v>15.177339501663823</v>
      </c>
      <c r="H4" s="364" t="s">
        <v>274</v>
      </c>
      <c r="I4" s="365" t="s">
        <v>269</v>
      </c>
      <c r="J4" s="366" t="s">
        <v>277</v>
      </c>
      <c r="K4" s="367" t="s">
        <v>290</v>
      </c>
      <c r="L4" s="161"/>
      <c r="M4" s="178" t="s">
        <v>12</v>
      </c>
      <c r="N4" s="170"/>
      <c r="O4" s="179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</row>
    <row r="5" spans="1:26" ht="14.25" customHeight="1">
      <c r="A5" s="279" t="s">
        <v>82</v>
      </c>
      <c r="B5" s="253">
        <v>44179</v>
      </c>
      <c r="C5" s="220">
        <v>45729</v>
      </c>
      <c r="D5" s="283" t="s">
        <v>251</v>
      </c>
      <c r="E5" s="283">
        <v>16.600000000000001</v>
      </c>
      <c r="F5" s="283">
        <v>1.01</v>
      </c>
      <c r="G5" s="368">
        <f t="shared" si="0"/>
        <v>16.272914420154887</v>
      </c>
      <c r="H5" s="225">
        <v>75</v>
      </c>
      <c r="I5" s="225">
        <v>50</v>
      </c>
      <c r="J5" s="225" t="s">
        <v>272</v>
      </c>
      <c r="K5" s="225" t="s">
        <v>290</v>
      </c>
      <c r="L5" s="161"/>
      <c r="M5" s="178" t="s">
        <v>13</v>
      </c>
      <c r="N5" s="170">
        <v>2</v>
      </c>
      <c r="O5" s="179">
        <v>6</v>
      </c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</row>
    <row r="6" spans="1:26" ht="14.25" customHeight="1">
      <c r="A6" s="289" t="s">
        <v>83</v>
      </c>
      <c r="B6" s="261">
        <v>44117</v>
      </c>
      <c r="C6" s="209">
        <v>45729</v>
      </c>
      <c r="D6" s="273" t="s">
        <v>252</v>
      </c>
      <c r="E6" s="273">
        <v>15.9</v>
      </c>
      <c r="F6" s="273">
        <v>0.99</v>
      </c>
      <c r="G6" s="75">
        <f t="shared" si="0"/>
        <v>16.222834404652588</v>
      </c>
      <c r="H6" s="99">
        <v>75</v>
      </c>
      <c r="I6" s="99" t="s">
        <v>274</v>
      </c>
      <c r="J6" s="99" t="s">
        <v>273</v>
      </c>
      <c r="K6" s="99" t="s">
        <v>290</v>
      </c>
      <c r="L6" s="161"/>
      <c r="M6" s="178" t="s">
        <v>15</v>
      </c>
      <c r="N6" s="170"/>
      <c r="O6" s="179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</row>
    <row r="7" spans="1:26" ht="14.25" customHeight="1">
      <c r="A7" s="279" t="s">
        <v>202</v>
      </c>
      <c r="B7" s="253">
        <v>44279</v>
      </c>
      <c r="C7" s="220">
        <v>45729</v>
      </c>
      <c r="D7" s="283" t="s">
        <v>246</v>
      </c>
      <c r="E7" s="283">
        <v>14.6</v>
      </c>
      <c r="F7" s="283">
        <v>0.98</v>
      </c>
      <c r="G7" s="215">
        <f t="shared" si="0"/>
        <v>15.201999167013746</v>
      </c>
      <c r="H7" s="217" t="s">
        <v>274</v>
      </c>
      <c r="I7" s="217" t="s">
        <v>274</v>
      </c>
      <c r="J7" s="217" t="s">
        <v>272</v>
      </c>
      <c r="K7" s="217" t="s">
        <v>290</v>
      </c>
      <c r="L7" s="161"/>
      <c r="M7" s="178" t="s">
        <v>17</v>
      </c>
      <c r="N7" s="170"/>
      <c r="O7" s="179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</row>
    <row r="8" spans="1:26" ht="14.25" customHeight="1">
      <c r="A8" s="289" t="s">
        <v>203</v>
      </c>
      <c r="B8" s="261">
        <v>44031</v>
      </c>
      <c r="C8" s="209">
        <v>45729</v>
      </c>
      <c r="D8" s="273" t="s">
        <v>253</v>
      </c>
      <c r="E8" s="273">
        <v>16.2</v>
      </c>
      <c r="F8" s="273">
        <v>1.03</v>
      </c>
      <c r="G8" s="75">
        <f t="shared" si="0"/>
        <v>15.27005372796682</v>
      </c>
      <c r="H8" s="99" t="s">
        <v>275</v>
      </c>
      <c r="I8" s="99" t="s">
        <v>274</v>
      </c>
      <c r="J8" s="99" t="s">
        <v>272</v>
      </c>
      <c r="K8" s="99" t="s">
        <v>290</v>
      </c>
      <c r="L8" s="161"/>
      <c r="M8" s="178" t="s">
        <v>18</v>
      </c>
      <c r="N8" s="170">
        <f>SUM(N5:N7)</f>
        <v>2</v>
      </c>
      <c r="O8" s="179">
        <f>SUM(O5:O7)</f>
        <v>6</v>
      </c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</row>
    <row r="9" spans="1:26" ht="14.25" customHeight="1" thickBot="1">
      <c r="A9" s="289" t="s">
        <v>84</v>
      </c>
      <c r="B9" s="261">
        <v>44053</v>
      </c>
      <c r="C9" s="209">
        <v>45729</v>
      </c>
      <c r="D9" s="273" t="s">
        <v>253</v>
      </c>
      <c r="E9" s="273">
        <v>16.399999999999999</v>
      </c>
      <c r="F9" s="273">
        <v>1.04</v>
      </c>
      <c r="G9" s="75">
        <f t="shared" si="0"/>
        <v>15.162721893491121</v>
      </c>
      <c r="H9" s="99">
        <v>50</v>
      </c>
      <c r="I9" s="99" t="s">
        <v>274</v>
      </c>
      <c r="J9" s="99" t="s">
        <v>272</v>
      </c>
      <c r="K9" s="99" t="s">
        <v>290</v>
      </c>
      <c r="L9" s="161"/>
      <c r="M9" s="180" t="s">
        <v>19</v>
      </c>
      <c r="N9" s="201"/>
      <c r="O9" s="202">
        <f>SUM(N8:O8)</f>
        <v>8</v>
      </c>
      <c r="P9" s="173"/>
      <c r="Q9" s="161"/>
      <c r="R9" s="161"/>
      <c r="S9" s="161"/>
      <c r="T9" s="161"/>
      <c r="U9" s="161"/>
      <c r="V9" s="161"/>
      <c r="W9" s="161"/>
      <c r="X9" s="161"/>
      <c r="Y9" s="161"/>
      <c r="Z9" s="161"/>
    </row>
    <row r="10" spans="1:26" ht="14.25" customHeight="1">
      <c r="A10" s="289" t="s">
        <v>85</v>
      </c>
      <c r="B10" s="261">
        <v>44096</v>
      </c>
      <c r="C10" s="209">
        <v>45729</v>
      </c>
      <c r="D10" s="273" t="s">
        <v>252</v>
      </c>
      <c r="E10" s="273">
        <v>15.9</v>
      </c>
      <c r="F10" s="273">
        <v>1.02</v>
      </c>
      <c r="G10" s="75">
        <f t="shared" si="0"/>
        <v>15.282583621683969</v>
      </c>
      <c r="H10" s="99">
        <v>50</v>
      </c>
      <c r="I10" s="99" t="s">
        <v>274</v>
      </c>
      <c r="J10" s="99" t="s">
        <v>272</v>
      </c>
      <c r="K10" s="99" t="s">
        <v>290</v>
      </c>
      <c r="L10" s="161"/>
      <c r="M10" s="174"/>
      <c r="N10" s="174"/>
      <c r="O10" s="174"/>
      <c r="P10" s="173"/>
      <c r="Q10" s="161"/>
      <c r="R10" s="161"/>
      <c r="S10" s="161"/>
      <c r="T10" s="161"/>
      <c r="U10" s="161"/>
      <c r="V10" s="161"/>
      <c r="W10" s="161"/>
      <c r="X10" s="161"/>
      <c r="Y10" s="161"/>
      <c r="Z10" s="161"/>
    </row>
    <row r="11" spans="1:26" ht="14.25" customHeight="1">
      <c r="A11" s="289" t="s">
        <v>97</v>
      </c>
      <c r="B11" s="261">
        <v>44215</v>
      </c>
      <c r="C11" s="209">
        <v>45729</v>
      </c>
      <c r="D11" s="273" t="s">
        <v>250</v>
      </c>
      <c r="E11" s="273">
        <v>17.899999999999999</v>
      </c>
      <c r="F11" s="390">
        <v>1.1000000000000001</v>
      </c>
      <c r="G11" s="75">
        <f t="shared" si="0"/>
        <v>14.793388429752063</v>
      </c>
      <c r="H11" s="99" t="s">
        <v>274</v>
      </c>
      <c r="I11" s="99" t="s">
        <v>275</v>
      </c>
      <c r="J11" s="99" t="s">
        <v>271</v>
      </c>
      <c r="K11" s="99" t="s">
        <v>290</v>
      </c>
      <c r="L11" s="161"/>
      <c r="M11" s="174"/>
      <c r="N11" s="174"/>
      <c r="O11" s="174"/>
      <c r="P11" s="173"/>
      <c r="Q11" s="161"/>
      <c r="R11" s="161"/>
      <c r="S11" s="161"/>
      <c r="T11" s="161"/>
      <c r="U11" s="161"/>
      <c r="V11" s="161"/>
      <c r="W11" s="161"/>
      <c r="X11" s="161"/>
      <c r="Y11" s="161"/>
      <c r="Z11" s="161"/>
    </row>
    <row r="12" spans="1:26" ht="14.25" customHeight="1">
      <c r="A12" s="363"/>
      <c r="B12" s="214"/>
      <c r="C12" s="214"/>
      <c r="D12" s="215"/>
      <c r="E12" s="217"/>
      <c r="F12" s="216"/>
      <c r="G12" s="215"/>
      <c r="H12" s="217"/>
      <c r="I12" s="217"/>
      <c r="J12" s="217"/>
      <c r="K12" s="217"/>
      <c r="L12" s="161"/>
      <c r="M12" s="174"/>
      <c r="N12" s="174"/>
      <c r="O12" s="174"/>
      <c r="P12" s="173"/>
      <c r="Q12" s="161"/>
      <c r="R12" s="161"/>
      <c r="S12" s="161"/>
      <c r="T12" s="161"/>
      <c r="U12" s="161"/>
      <c r="V12" s="161"/>
      <c r="W12" s="161"/>
      <c r="X12" s="161"/>
      <c r="Y12" s="161"/>
      <c r="Z12" s="161"/>
    </row>
    <row r="13" spans="1:26" ht="14.25" customHeight="1">
      <c r="A13" s="363"/>
      <c r="B13" s="363"/>
      <c r="C13" s="363"/>
      <c r="D13" s="280"/>
      <c r="E13" s="281"/>
      <c r="F13" s="281"/>
      <c r="G13" s="280"/>
      <c r="H13" s="281"/>
      <c r="I13" s="281"/>
      <c r="J13" s="281"/>
      <c r="K13" s="281"/>
      <c r="L13" s="161"/>
      <c r="M13" s="174"/>
      <c r="N13" s="174"/>
      <c r="O13" s="174"/>
      <c r="P13" s="173"/>
      <c r="Q13" s="161"/>
      <c r="R13" s="161"/>
      <c r="S13" s="161"/>
      <c r="T13" s="161"/>
      <c r="U13" s="161"/>
      <c r="V13" s="161"/>
      <c r="W13" s="161"/>
      <c r="X13" s="161"/>
      <c r="Y13" s="161"/>
      <c r="Z13" s="161"/>
    </row>
    <row r="14" spans="1:26" ht="14.25" customHeight="1">
      <c r="A14" s="363"/>
      <c r="B14" s="363"/>
      <c r="C14" s="260"/>
      <c r="D14" s="280"/>
      <c r="E14" s="281"/>
      <c r="F14" s="281"/>
      <c r="G14" s="280"/>
      <c r="H14" s="281"/>
      <c r="I14" s="281"/>
      <c r="J14" s="281"/>
      <c r="K14" s="281"/>
      <c r="L14" s="171"/>
      <c r="M14" s="174"/>
      <c r="N14" s="174"/>
      <c r="O14" s="174"/>
      <c r="P14" s="173"/>
      <c r="Q14" s="161"/>
      <c r="R14" s="161"/>
      <c r="S14" s="161"/>
      <c r="T14" s="161"/>
      <c r="U14" s="161"/>
      <c r="V14" s="161"/>
      <c r="W14" s="161"/>
      <c r="X14" s="161"/>
      <c r="Y14" s="161"/>
      <c r="Z14" s="161"/>
    </row>
    <row r="15" spans="1:26" ht="14.25" customHeight="1">
      <c r="A15" s="172"/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61"/>
      <c r="M15" s="173"/>
      <c r="N15" s="173"/>
      <c r="O15" s="173"/>
      <c r="P15" s="173"/>
      <c r="Q15" s="161"/>
      <c r="R15" s="161"/>
      <c r="S15" s="161"/>
      <c r="T15" s="161"/>
      <c r="U15" s="161"/>
      <c r="V15" s="161"/>
      <c r="W15" s="161"/>
      <c r="X15" s="161"/>
      <c r="Y15" s="161"/>
      <c r="Z15" s="161"/>
    </row>
    <row r="16" spans="1:26" ht="14.25" customHeight="1">
      <c r="A16" s="161"/>
      <c r="B16" s="161"/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</row>
    <row r="17" spans="1:26" ht="14.25" customHeight="1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</row>
    <row r="18" spans="1:26" ht="14.25" customHeight="1">
      <c r="A18" s="161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</row>
    <row r="19" spans="1:26" ht="14.25" customHeight="1">
      <c r="A19" s="161"/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</row>
    <row r="20" spans="1:26" ht="14.25" customHeight="1">
      <c r="A20" s="161"/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</row>
    <row r="21" spans="1:26" ht="14.25" customHeight="1">
      <c r="A21" s="161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</row>
    <row r="22" spans="1:26" ht="14.25" customHeight="1">
      <c r="A22" s="161"/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</row>
    <row r="23" spans="1:26" ht="14.25" customHeight="1">
      <c r="A23" s="161"/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</row>
    <row r="24" spans="1:26" ht="14.25" customHeight="1">
      <c r="A24" s="161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</row>
    <row r="25" spans="1:26" ht="14.25" customHeight="1">
      <c r="A25" s="161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</row>
    <row r="26" spans="1:26" ht="14.25" customHeight="1">
      <c r="A26" s="161"/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</row>
    <row r="27" spans="1:26" ht="14.25" customHeight="1">
      <c r="A27" s="161"/>
      <c r="B27" s="161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</row>
    <row r="28" spans="1:26" ht="14.25" customHeight="1">
      <c r="A28" s="161"/>
      <c r="B28" s="161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</row>
    <row r="29" spans="1:26" ht="14.25" customHeight="1">
      <c r="A29" s="161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</row>
    <row r="30" spans="1:26" ht="14.25" customHeight="1">
      <c r="A30" s="161"/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</row>
    <row r="31" spans="1:26" ht="14.25" customHeight="1">
      <c r="A31" s="161"/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</row>
    <row r="32" spans="1:26" ht="14.25" customHeight="1">
      <c r="A32" s="161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</row>
    <row r="33" spans="1:26" ht="14.25" customHeight="1">
      <c r="A33" s="161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</row>
    <row r="34" spans="1:26" ht="14.25" customHeight="1">
      <c r="A34" s="161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</row>
    <row r="35" spans="1:26" ht="14.25" customHeight="1">
      <c r="A35" s="161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</row>
    <row r="36" spans="1:26" ht="14.25" customHeight="1">
      <c r="A36" s="161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</row>
    <row r="37" spans="1:26" ht="14.25" customHeight="1">
      <c r="A37" s="161"/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</row>
    <row r="38" spans="1:26" ht="14.25" customHeight="1">
      <c r="A38" s="161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</row>
    <row r="39" spans="1:26" ht="14.25" customHeight="1">
      <c r="A39" s="161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</row>
    <row r="40" spans="1:26" ht="14.25" customHeight="1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</row>
    <row r="41" spans="1:26" ht="14.25" customHeight="1">
      <c r="A41" s="161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</row>
    <row r="42" spans="1:26" ht="14.25" customHeight="1">
      <c r="A42" s="161"/>
      <c r="B42" s="161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</row>
    <row r="43" spans="1:26" ht="14.25" customHeight="1">
      <c r="A43" s="161"/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</row>
    <row r="44" spans="1:26" ht="14.25" customHeight="1">
      <c r="A44" s="161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</row>
    <row r="45" spans="1:26" ht="14.25" customHeight="1">
      <c r="A45" s="161"/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</row>
    <row r="46" spans="1:26" ht="14.25" customHeight="1">
      <c r="A46" s="161"/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</row>
    <row r="47" spans="1:26" ht="14.25" customHeight="1">
      <c r="A47" s="161"/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</row>
    <row r="48" spans="1:26" ht="14.25" customHeight="1">
      <c r="A48" s="161"/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</row>
    <row r="49" spans="1:26" ht="14.25" customHeight="1">
      <c r="A49" s="161"/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</row>
    <row r="50" spans="1:26" ht="14.25" customHeight="1">
      <c r="A50" s="161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</row>
    <row r="51" spans="1:26" ht="14.25" customHeight="1">
      <c r="A51" s="161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</row>
    <row r="52" spans="1:26" ht="14.25" customHeight="1">
      <c r="A52" s="161"/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</row>
    <row r="53" spans="1:26" ht="14.25" customHeight="1">
      <c r="A53" s="161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</row>
    <row r="54" spans="1:26" ht="14.25" customHeight="1">
      <c r="A54" s="161"/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</row>
    <row r="55" spans="1:26" ht="14.25" customHeight="1">
      <c r="A55" s="161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</row>
    <row r="56" spans="1:26" ht="14.25" customHeight="1">
      <c r="A56" s="161"/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</row>
    <row r="57" spans="1:26" ht="14.25" customHeight="1">
      <c r="A57" s="161"/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</row>
    <row r="58" spans="1:26" ht="14.25" customHeight="1">
      <c r="A58" s="161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</row>
    <row r="59" spans="1:26" ht="14.25" customHeight="1">
      <c r="A59" s="161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</row>
    <row r="60" spans="1:26" ht="14.25" customHeight="1">
      <c r="A60" s="161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</row>
    <row r="61" spans="1:26" ht="14.25" customHeight="1">
      <c r="A61" s="161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</row>
    <row r="62" spans="1:26" ht="14.25" customHeight="1">
      <c r="A62" s="161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</row>
    <row r="63" spans="1:26" ht="14.25" customHeight="1">
      <c r="A63" s="161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</row>
    <row r="64" spans="1:26" ht="14.25" customHeight="1">
      <c r="A64" s="161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</row>
    <row r="65" spans="1:26" ht="14.25" customHeight="1">
      <c r="A65" s="161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</row>
    <row r="66" spans="1:26" ht="14.25" customHeight="1">
      <c r="A66" s="161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</row>
    <row r="67" spans="1:26" ht="14.25" customHeight="1">
      <c r="A67" s="161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</row>
    <row r="68" spans="1:26" ht="14.25" customHeight="1">
      <c r="A68" s="161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</row>
    <row r="69" spans="1:26" ht="14.25" customHeight="1">
      <c r="A69" s="161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</row>
    <row r="70" spans="1:26" ht="14.25" customHeight="1">
      <c r="A70" s="161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</row>
    <row r="71" spans="1:26" ht="14.25" customHeight="1">
      <c r="A71" s="161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</row>
    <row r="72" spans="1:26" ht="14.25" customHeight="1">
      <c r="A72" s="161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</row>
    <row r="73" spans="1:26" ht="14.25" customHeight="1">
      <c r="A73" s="161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</row>
    <row r="74" spans="1:26" ht="14.25" customHeight="1">
      <c r="A74" s="161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</row>
    <row r="75" spans="1:26" ht="14.25" customHeight="1">
      <c r="A75" s="161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</row>
    <row r="76" spans="1:26" ht="14.25" customHeight="1">
      <c r="A76" s="16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</row>
    <row r="77" spans="1:26" ht="14.25" customHeight="1">
      <c r="A77" s="161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</row>
    <row r="78" spans="1:26" ht="14.25" customHeight="1">
      <c r="A78" s="161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</row>
    <row r="79" spans="1:26" ht="14.25" customHeight="1">
      <c r="A79" s="161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</row>
    <row r="80" spans="1:26" ht="14.25" customHeight="1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</row>
    <row r="81" spans="1:26" ht="14.25" customHeight="1">
      <c r="A81" s="161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</row>
    <row r="82" spans="1:26" ht="14.25" customHeight="1">
      <c r="A82" s="16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</row>
    <row r="83" spans="1:26" ht="14.25" customHeight="1">
      <c r="A83" s="161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</row>
    <row r="84" spans="1:26" ht="14.25" customHeight="1">
      <c r="A84" s="161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</row>
    <row r="85" spans="1:26" ht="14.25" customHeight="1">
      <c r="A85" s="161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</row>
    <row r="86" spans="1:26" ht="14.25" customHeight="1">
      <c r="A86" s="161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</row>
    <row r="87" spans="1:26" ht="14.25" customHeight="1">
      <c r="A87" s="161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</row>
    <row r="88" spans="1:26" ht="14.25" customHeight="1">
      <c r="A88" s="161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</row>
    <row r="89" spans="1:26" ht="14.25" customHeight="1">
      <c r="A89" s="161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</row>
    <row r="90" spans="1:26" ht="14.25" customHeight="1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</row>
    <row r="91" spans="1:26" ht="14.25" customHeight="1">
      <c r="A91" s="16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</row>
    <row r="92" spans="1:26" ht="14.25" customHeight="1">
      <c r="A92" s="161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</row>
    <row r="93" spans="1:26" ht="14.25" customHeight="1">
      <c r="A93" s="161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</row>
    <row r="94" spans="1:26" ht="14.25" customHeight="1">
      <c r="A94" s="161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</row>
    <row r="95" spans="1:26" ht="14.25" customHeight="1">
      <c r="A95" s="161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</row>
    <row r="96" spans="1:26" ht="14.25" customHeight="1">
      <c r="A96" s="161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</row>
    <row r="97" spans="1:26" ht="14.25" customHeight="1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</row>
    <row r="98" spans="1:26" ht="14.25" customHeight="1">
      <c r="A98" s="161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</row>
    <row r="99" spans="1:26" ht="14.25" customHeight="1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</row>
    <row r="100" spans="1:26" ht="14.25" customHeight="1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</row>
    <row r="101" spans="1:26" ht="14.25" customHeight="1">
      <c r="A101" s="161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</row>
    <row r="102" spans="1:26" ht="14.25" customHeight="1">
      <c r="A102" s="161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</row>
    <row r="103" spans="1:26" ht="14.25" customHeight="1">
      <c r="A103" s="161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</row>
    <row r="104" spans="1:26" ht="14.25" customHeight="1">
      <c r="A104" s="161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</row>
    <row r="105" spans="1:26" ht="14.25" customHeight="1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</row>
    <row r="106" spans="1:26" ht="14.25" customHeight="1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</row>
    <row r="107" spans="1:26" ht="14.25" customHeight="1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</row>
    <row r="108" spans="1:26" ht="14.25" customHeight="1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</row>
    <row r="109" spans="1:26" ht="14.25" customHeight="1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</row>
    <row r="110" spans="1:26" ht="14.25" customHeight="1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</row>
    <row r="111" spans="1:26" ht="14.25" customHeight="1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</row>
    <row r="112" spans="1:26" ht="14.25" customHeight="1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</row>
    <row r="113" spans="1:26" ht="14.25" customHeight="1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</row>
    <row r="114" spans="1:26" ht="14.25" customHeight="1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</row>
    <row r="115" spans="1:26" ht="14.25" customHeight="1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</row>
    <row r="116" spans="1:26" ht="14.25" customHeight="1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</row>
    <row r="117" spans="1:26" ht="14.25" customHeight="1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</row>
    <row r="118" spans="1:26" ht="14.25" customHeight="1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</row>
    <row r="119" spans="1:26" ht="14.25" customHeight="1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</row>
    <row r="120" spans="1:26" ht="14.25" customHeight="1">
      <c r="A120" s="161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</row>
    <row r="121" spans="1:26" ht="14.25" customHeight="1">
      <c r="A121" s="161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</row>
    <row r="122" spans="1:26" ht="14.25" customHeight="1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</row>
    <row r="123" spans="1:26" ht="14.25" customHeight="1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</row>
    <row r="124" spans="1:26" ht="14.25" customHeight="1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</row>
    <row r="125" spans="1:26" ht="14.25" customHeight="1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</row>
    <row r="126" spans="1:26" ht="14.25" customHeight="1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</row>
    <row r="127" spans="1:26" ht="14.25" customHeight="1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</row>
    <row r="128" spans="1:26" ht="14.25" customHeight="1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</row>
    <row r="129" spans="1:26" ht="14.25" customHeight="1">
      <c r="A129" s="161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</row>
    <row r="130" spans="1:26" ht="14.25" customHeight="1">
      <c r="A130" s="161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</row>
    <row r="131" spans="1:26" ht="14.25" customHeight="1">
      <c r="A131" s="161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</row>
    <row r="132" spans="1:26" ht="14.25" customHeight="1">
      <c r="A132" s="16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</row>
    <row r="133" spans="1:26" ht="14.25" customHeight="1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</row>
    <row r="134" spans="1:26" ht="14.25" customHeight="1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</row>
    <row r="135" spans="1:26" ht="14.25" customHeight="1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</row>
    <row r="136" spans="1:26" ht="14.25" customHeight="1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</row>
    <row r="137" spans="1:26" ht="14.25" customHeight="1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</row>
    <row r="138" spans="1:26" ht="14.25" customHeight="1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</row>
    <row r="139" spans="1:26" ht="14.25" customHeight="1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</row>
    <row r="140" spans="1:26" ht="14.25" customHeight="1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</row>
    <row r="141" spans="1:26" ht="14.25" customHeight="1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</row>
    <row r="142" spans="1:26" ht="14.25" customHeight="1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</row>
    <row r="143" spans="1:26" ht="14.25" customHeight="1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</row>
    <row r="144" spans="1:26" ht="14.25" customHeight="1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</row>
    <row r="145" spans="1:26" ht="14.25" customHeight="1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</row>
    <row r="146" spans="1:26" ht="14.25" customHeight="1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</row>
    <row r="147" spans="1:26" ht="14.25" customHeight="1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</row>
    <row r="148" spans="1:26" ht="14.25" customHeight="1">
      <c r="A148" s="161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</row>
    <row r="149" spans="1:26" ht="14.25" customHeight="1">
      <c r="A149" s="161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</row>
    <row r="150" spans="1:26" ht="14.25" customHeight="1">
      <c r="A150" s="161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</row>
    <row r="151" spans="1:26" ht="14.25" customHeight="1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</row>
    <row r="152" spans="1:26" ht="14.25" customHeight="1">
      <c r="A152" s="161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</row>
    <row r="153" spans="1:26" ht="14.25" customHeight="1">
      <c r="A153" s="161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</row>
    <row r="154" spans="1:26" ht="14.25" customHeight="1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</row>
    <row r="155" spans="1:26" ht="14.25" customHeight="1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</row>
    <row r="156" spans="1:26" ht="14.25" customHeight="1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</row>
    <row r="157" spans="1:26" ht="14.25" customHeight="1">
      <c r="A157" s="161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</row>
    <row r="158" spans="1:26" ht="14.25" customHeight="1">
      <c r="A158" s="161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</row>
    <row r="159" spans="1:26" ht="14.25" customHeight="1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</row>
    <row r="160" spans="1:26" ht="14.25" customHeight="1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</row>
    <row r="161" spans="1:26" ht="14.25" customHeight="1">
      <c r="A161" s="161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</row>
    <row r="162" spans="1:26" ht="14.25" customHeight="1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</row>
    <row r="163" spans="1:26" ht="14.25" customHeight="1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</row>
    <row r="164" spans="1:26" ht="14.25" customHeight="1">
      <c r="A164" s="161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</row>
    <row r="165" spans="1:26" ht="14.25" customHeight="1">
      <c r="A165" s="16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</row>
    <row r="166" spans="1:26" ht="14.25" customHeight="1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</row>
    <row r="167" spans="1:26" ht="14.25" customHeight="1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</row>
    <row r="168" spans="1:26" ht="14.25" customHeight="1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</row>
    <row r="169" spans="1:26" ht="14.25" customHeight="1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</row>
    <row r="170" spans="1:26" ht="14.25" customHeight="1">
      <c r="A170" s="161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</row>
    <row r="171" spans="1:26" ht="14.25" customHeight="1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</row>
    <row r="172" spans="1:26" ht="14.25" customHeight="1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</row>
    <row r="173" spans="1:26" ht="14.25" customHeight="1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</row>
    <row r="174" spans="1:26" ht="14.25" customHeight="1">
      <c r="A174" s="161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</row>
    <row r="175" spans="1:26" ht="14.25" customHeight="1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</row>
    <row r="176" spans="1:26" ht="14.25" customHeight="1">
      <c r="A176" s="161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</row>
    <row r="177" spans="1:26" ht="14.25" customHeight="1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</row>
    <row r="178" spans="1:26" ht="14.25" customHeight="1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</row>
    <row r="179" spans="1:26" ht="14.25" customHeight="1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</row>
    <row r="180" spans="1:26" ht="14.25" customHeight="1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</row>
    <row r="181" spans="1:26" ht="14.25" customHeight="1">
      <c r="A181" s="161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</row>
    <row r="182" spans="1:26" ht="14.25" customHeight="1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</row>
    <row r="183" spans="1:26" ht="14.25" customHeight="1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</row>
    <row r="184" spans="1:26" ht="14.25" customHeight="1">
      <c r="A184" s="161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</row>
    <row r="185" spans="1:26" ht="14.25" customHeight="1">
      <c r="A185" s="161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</row>
    <row r="186" spans="1:26" ht="14.25" customHeight="1">
      <c r="A186" s="161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</row>
    <row r="187" spans="1:26" ht="14.25" customHeight="1">
      <c r="A187" s="161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</row>
    <row r="188" spans="1:26" ht="14.25" customHeight="1">
      <c r="A188" s="161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</row>
    <row r="189" spans="1:26" ht="14.25" customHeight="1">
      <c r="A189" s="161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</row>
    <row r="190" spans="1:26" ht="14.25" customHeight="1">
      <c r="A190" s="161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</row>
    <row r="191" spans="1:26" ht="14.25" customHeight="1">
      <c r="A191" s="161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</row>
    <row r="192" spans="1:26" ht="14.25" customHeight="1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</row>
    <row r="193" spans="1:26" ht="14.25" customHeight="1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</row>
    <row r="194" spans="1:26" ht="14.25" customHeight="1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</row>
    <row r="195" spans="1:26" ht="14.25" customHeight="1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</row>
    <row r="196" spans="1:26" ht="14.25" customHeight="1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</row>
    <row r="197" spans="1:26" ht="14.25" customHeight="1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</row>
    <row r="198" spans="1:26" ht="14.25" customHeight="1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</row>
    <row r="199" spans="1:26" ht="14.25" customHeight="1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</row>
    <row r="200" spans="1:26" ht="14.25" customHeight="1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</row>
    <row r="201" spans="1:26" ht="14.25" customHeight="1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</row>
    <row r="202" spans="1:26" ht="14.25" customHeight="1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</row>
    <row r="203" spans="1:26" ht="14.25" customHeight="1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</row>
    <row r="204" spans="1:26" ht="14.25" customHeight="1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</row>
    <row r="205" spans="1:26" ht="14.25" customHeight="1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</row>
    <row r="206" spans="1:26" ht="14.25" customHeight="1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</row>
    <row r="207" spans="1:26" ht="14.25" customHeight="1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</row>
    <row r="208" spans="1:26" ht="14.25" customHeight="1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</row>
    <row r="209" spans="1:26" ht="14.25" customHeight="1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</row>
    <row r="210" spans="1:26" ht="14.25" customHeight="1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</row>
    <row r="211" spans="1:26" ht="14.25" customHeight="1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</row>
    <row r="212" spans="1:26" ht="14.25" customHeight="1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</row>
    <row r="213" spans="1:26" ht="14.25" customHeight="1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</row>
    <row r="214" spans="1:26" ht="14.25" customHeight="1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</row>
    <row r="215" spans="1:26" ht="14.25" customHeight="1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</row>
    <row r="216" spans="1:26" ht="14.25" customHeight="1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</row>
    <row r="217" spans="1:26" ht="14.25" customHeight="1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</row>
    <row r="218" spans="1:26" ht="14.25" customHeight="1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</row>
    <row r="219" spans="1:26" ht="14.25" customHeight="1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</row>
    <row r="220" spans="1:26" ht="14.25" customHeight="1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</row>
    <row r="221" spans="1:26" ht="14.25" customHeight="1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</row>
    <row r="222" spans="1:26" ht="14.25" customHeight="1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</row>
    <row r="223" spans="1:26" ht="14.25" customHeight="1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</row>
    <row r="224" spans="1:26" ht="14.25" customHeight="1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</row>
    <row r="225" spans="1:26" ht="14.25" customHeight="1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</row>
    <row r="226" spans="1:26" ht="14.25" customHeight="1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</row>
    <row r="227" spans="1:26" ht="14.25" customHeight="1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</row>
    <row r="228" spans="1:26" ht="14.25" customHeight="1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</row>
    <row r="229" spans="1:26" ht="14.25" customHeight="1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</row>
    <row r="230" spans="1:26" ht="14.25" customHeight="1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</row>
    <row r="231" spans="1:26" ht="14.25" customHeight="1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</row>
    <row r="232" spans="1:26" ht="14.25" customHeight="1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</row>
    <row r="233" spans="1:26" ht="14.25" customHeight="1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</row>
    <row r="234" spans="1:26" ht="14.25" customHeight="1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</row>
    <row r="235" spans="1:26" ht="14.25" customHeight="1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</row>
    <row r="236" spans="1:26" ht="14.25" customHeight="1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</row>
    <row r="237" spans="1:26" ht="14.25" customHeight="1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</row>
    <row r="238" spans="1:26" ht="14.25" customHeight="1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</row>
    <row r="239" spans="1:26" ht="14.25" customHeight="1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</row>
    <row r="240" spans="1:26" ht="14.25" customHeight="1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</row>
    <row r="241" spans="1:26" ht="14.25" customHeight="1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</row>
    <row r="242" spans="1:26" ht="14.25" customHeight="1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</row>
    <row r="243" spans="1:26" ht="14.25" customHeight="1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</row>
    <row r="244" spans="1:26" ht="14.25" customHeight="1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</row>
    <row r="245" spans="1:26" ht="14.25" customHeight="1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</row>
    <row r="246" spans="1:26" ht="14.25" customHeight="1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</row>
    <row r="247" spans="1:26" ht="14.25" customHeight="1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</row>
    <row r="248" spans="1:26" ht="14.25" customHeight="1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</row>
    <row r="249" spans="1:26" ht="14.25" customHeight="1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</row>
    <row r="250" spans="1:26" ht="14.25" customHeight="1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</row>
    <row r="251" spans="1:26" ht="14.25" customHeight="1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</row>
    <row r="252" spans="1:26" ht="14.25" customHeight="1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</row>
    <row r="253" spans="1:26" ht="14.25" customHeight="1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</row>
    <row r="254" spans="1:26" ht="14.25" customHeight="1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</row>
    <row r="255" spans="1:26" ht="14.25" customHeight="1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</row>
    <row r="256" spans="1:26" ht="14.25" customHeight="1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</row>
    <row r="257" spans="1:26" ht="14.25" customHeight="1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</row>
    <row r="258" spans="1:26" ht="14.25" customHeight="1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</row>
    <row r="259" spans="1:26" ht="14.25" customHeight="1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</row>
    <row r="260" spans="1:26" ht="14.25" customHeight="1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</row>
    <row r="261" spans="1:26" ht="14.25" customHeight="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</row>
    <row r="262" spans="1:26" ht="14.25" customHeight="1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</row>
    <row r="263" spans="1:26" ht="14.25" customHeight="1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</row>
    <row r="264" spans="1:26" ht="14.25" customHeight="1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</row>
    <row r="265" spans="1:26" ht="14.25" customHeight="1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</row>
    <row r="266" spans="1:26" ht="14.25" customHeight="1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</row>
    <row r="267" spans="1:26" ht="14.25" customHeight="1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</row>
    <row r="268" spans="1:26" ht="14.25" customHeight="1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</row>
    <row r="269" spans="1:26" ht="14.25" customHeight="1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</row>
    <row r="270" spans="1:26" ht="14.25" customHeight="1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</row>
    <row r="271" spans="1:26" ht="14.25" customHeight="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</row>
    <row r="272" spans="1:26" ht="14.25" customHeight="1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</row>
    <row r="273" spans="1:26" ht="14.25" customHeight="1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</row>
    <row r="274" spans="1:26" ht="14.25" customHeight="1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</row>
    <row r="275" spans="1:26" ht="14.25" customHeight="1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</row>
    <row r="276" spans="1:26" ht="14.25" customHeight="1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</row>
    <row r="277" spans="1:26" ht="14.25" customHeight="1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</row>
    <row r="278" spans="1:26" ht="14.25" customHeight="1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</row>
    <row r="279" spans="1:26" ht="14.25" customHeight="1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</row>
    <row r="280" spans="1:26" ht="14.25" customHeight="1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</row>
    <row r="281" spans="1:26" ht="14.25" customHeight="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</row>
    <row r="282" spans="1:26" ht="14.25" customHeight="1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</row>
    <row r="283" spans="1:26" ht="14.25" customHeight="1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</row>
    <row r="284" spans="1:26" ht="14.25" customHeight="1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</row>
    <row r="285" spans="1:26" ht="14.25" customHeight="1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</row>
    <row r="286" spans="1:26" ht="14.25" customHeight="1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</row>
    <row r="287" spans="1:26" ht="14.25" customHeight="1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</row>
    <row r="288" spans="1:26" ht="14.25" customHeight="1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</row>
    <row r="289" spans="1:26" ht="14.25" customHeight="1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</row>
    <row r="290" spans="1:26" ht="14.25" customHeight="1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</row>
    <row r="291" spans="1:26" ht="14.25" customHeight="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</row>
    <row r="292" spans="1:26" ht="14.25" customHeight="1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</row>
    <row r="293" spans="1:26" ht="14.25" customHeight="1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</row>
    <row r="294" spans="1:26" ht="14.25" customHeight="1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</row>
    <row r="295" spans="1:26" ht="14.25" customHeight="1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</row>
    <row r="296" spans="1:26" ht="14.25" customHeight="1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</row>
    <row r="297" spans="1:26" ht="14.25" customHeight="1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</row>
    <row r="298" spans="1:26" ht="14.25" customHeight="1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</row>
    <row r="299" spans="1:26" ht="14.25" customHeight="1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</row>
    <row r="300" spans="1:26" ht="14.25" customHeight="1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</row>
    <row r="301" spans="1:26" ht="14.25" customHeight="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</row>
    <row r="302" spans="1:26" ht="14.25" customHeight="1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</row>
    <row r="303" spans="1:26" ht="14.25" customHeight="1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</row>
    <row r="304" spans="1:26" ht="14.25" customHeight="1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</row>
    <row r="305" spans="1:26" ht="14.25" customHeight="1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</row>
    <row r="306" spans="1:26" ht="14.25" customHeight="1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</row>
    <row r="307" spans="1:26" ht="14.25" customHeight="1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</row>
    <row r="308" spans="1:26" ht="14.25" customHeight="1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</row>
    <row r="309" spans="1:26" ht="14.25" customHeight="1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</row>
    <row r="310" spans="1:26" ht="14.25" customHeight="1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</row>
    <row r="311" spans="1:26" ht="14.25" customHeight="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</row>
    <row r="312" spans="1:26" ht="14.25" customHeight="1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</row>
    <row r="313" spans="1:26" ht="14.25" customHeight="1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</row>
    <row r="314" spans="1:26" ht="14.25" customHeight="1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</row>
    <row r="315" spans="1:26" ht="14.25" customHeight="1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</row>
    <row r="316" spans="1:26" ht="14.25" customHeight="1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</row>
    <row r="317" spans="1:26" ht="14.25" customHeight="1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</row>
    <row r="318" spans="1:26" ht="14.25" customHeight="1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</row>
    <row r="319" spans="1:26" ht="14.25" customHeight="1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</row>
    <row r="320" spans="1:26" ht="14.25" customHeight="1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</row>
    <row r="321" spans="1:26" ht="14.25" customHeight="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</row>
    <row r="322" spans="1:26" ht="14.25" customHeight="1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</row>
    <row r="323" spans="1:26" ht="14.25" customHeight="1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</row>
    <row r="324" spans="1:26" ht="14.25" customHeight="1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</row>
    <row r="325" spans="1:26" ht="14.25" customHeight="1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</row>
    <row r="326" spans="1:26" ht="14.25" customHeight="1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</row>
    <row r="327" spans="1:26" ht="14.25" customHeight="1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</row>
    <row r="328" spans="1:26" ht="14.25" customHeight="1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</row>
    <row r="329" spans="1:26" ht="14.25" customHeight="1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</row>
    <row r="330" spans="1:26" ht="14.25" customHeight="1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</row>
    <row r="331" spans="1:26" ht="14.25" customHeight="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</row>
    <row r="332" spans="1:26" ht="14.25" customHeight="1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</row>
    <row r="333" spans="1:26" ht="14.25" customHeight="1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</row>
    <row r="334" spans="1:26" ht="14.25" customHeight="1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</row>
    <row r="335" spans="1:26" ht="14.25" customHeight="1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</row>
    <row r="336" spans="1:26" ht="14.25" customHeight="1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</row>
    <row r="337" spans="1:26" ht="14.25" customHeight="1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</row>
    <row r="338" spans="1:26" ht="14.25" customHeight="1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</row>
    <row r="339" spans="1:26" ht="14.25" customHeight="1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</row>
    <row r="340" spans="1:26" ht="14.25" customHeight="1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</row>
    <row r="341" spans="1:26" ht="14.25" customHeight="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</row>
    <row r="342" spans="1:26" ht="14.25" customHeight="1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</row>
    <row r="343" spans="1:26" ht="14.25" customHeight="1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</row>
    <row r="344" spans="1:26" ht="14.25" customHeight="1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</row>
    <row r="345" spans="1:26" ht="14.25" customHeight="1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</row>
    <row r="346" spans="1:26" ht="14.25" customHeight="1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</row>
    <row r="347" spans="1:26" ht="14.25" customHeight="1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</row>
    <row r="348" spans="1:26" ht="14.25" customHeight="1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</row>
    <row r="349" spans="1:26" ht="14.25" customHeight="1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</row>
    <row r="350" spans="1:26" ht="14.25" customHeight="1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</row>
    <row r="351" spans="1:26" ht="14.25" customHeight="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</row>
    <row r="352" spans="1:26" ht="14.25" customHeight="1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</row>
    <row r="353" spans="1:26" ht="14.25" customHeight="1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</row>
    <row r="354" spans="1:26" ht="14.25" customHeight="1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</row>
    <row r="355" spans="1:26" ht="14.25" customHeight="1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</row>
    <row r="356" spans="1:26" ht="14.25" customHeight="1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</row>
    <row r="357" spans="1:26" ht="14.25" customHeight="1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</row>
    <row r="358" spans="1:26" ht="14.25" customHeight="1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</row>
    <row r="359" spans="1:26" ht="14.25" customHeight="1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</row>
    <row r="360" spans="1:26" ht="14.25" customHeight="1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</row>
    <row r="361" spans="1:26" ht="14.25" customHeight="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</row>
    <row r="362" spans="1:26" ht="14.25" customHeight="1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</row>
    <row r="363" spans="1:26" ht="14.25" customHeight="1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</row>
    <row r="364" spans="1:26" ht="14.25" customHeight="1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</row>
    <row r="365" spans="1:26" ht="14.25" customHeight="1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</row>
    <row r="366" spans="1:26" ht="14.25" customHeight="1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</row>
    <row r="367" spans="1:26" ht="14.25" customHeight="1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</row>
    <row r="368" spans="1:26" ht="14.25" customHeight="1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</row>
    <row r="369" spans="1:26" ht="14.25" customHeight="1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</row>
    <row r="370" spans="1:26" ht="14.25" customHeight="1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</row>
    <row r="371" spans="1:26" ht="14.25" customHeight="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</row>
    <row r="372" spans="1:26" ht="14.25" customHeight="1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</row>
    <row r="373" spans="1:26" ht="14.25" customHeight="1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</row>
    <row r="374" spans="1:26" ht="14.25" customHeight="1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</row>
    <row r="375" spans="1:26" ht="14.25" customHeight="1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</row>
    <row r="376" spans="1:26" ht="14.25" customHeight="1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</row>
    <row r="377" spans="1:26" ht="14.25" customHeight="1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</row>
    <row r="378" spans="1:26" ht="14.25" customHeight="1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</row>
    <row r="379" spans="1:26" ht="14.25" customHeight="1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</row>
    <row r="380" spans="1:26" ht="14.25" customHeight="1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</row>
    <row r="381" spans="1:26" ht="14.25" customHeight="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</row>
    <row r="382" spans="1:26" ht="14.25" customHeight="1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</row>
    <row r="383" spans="1:26" ht="14.25" customHeight="1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</row>
    <row r="384" spans="1:26" ht="14.25" customHeight="1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</row>
    <row r="385" spans="1:26" ht="14.25" customHeight="1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</row>
    <row r="386" spans="1:26" ht="14.25" customHeight="1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</row>
    <row r="387" spans="1:26" ht="14.25" customHeight="1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</row>
    <row r="388" spans="1:26" ht="14.25" customHeight="1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</row>
    <row r="389" spans="1:26" ht="14.25" customHeight="1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</row>
    <row r="390" spans="1:26" ht="14.25" customHeight="1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</row>
    <row r="391" spans="1:26" ht="14.25" customHeight="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</row>
    <row r="392" spans="1:26" ht="14.25" customHeight="1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</row>
    <row r="393" spans="1:26" ht="14.25" customHeight="1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</row>
    <row r="394" spans="1:26" ht="14.25" customHeight="1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</row>
    <row r="395" spans="1:26" ht="14.25" customHeight="1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</row>
    <row r="396" spans="1:26" ht="14.25" customHeight="1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</row>
    <row r="397" spans="1:26" ht="14.25" customHeight="1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</row>
    <row r="398" spans="1:26" ht="14.25" customHeight="1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</row>
    <row r="399" spans="1:26" ht="14.25" customHeight="1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</row>
    <row r="400" spans="1:26" ht="14.25" customHeight="1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</row>
    <row r="401" spans="1:26" ht="14.25" customHeight="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</row>
    <row r="402" spans="1:26" ht="14.25" customHeight="1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</row>
    <row r="403" spans="1:26" ht="14.25" customHeight="1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</row>
    <row r="404" spans="1:26" ht="14.25" customHeight="1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</row>
    <row r="405" spans="1:26" ht="14.25" customHeight="1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</row>
    <row r="406" spans="1:26" ht="14.25" customHeight="1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</row>
    <row r="407" spans="1:26" ht="14.25" customHeight="1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</row>
    <row r="408" spans="1:26" ht="14.25" customHeight="1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</row>
    <row r="409" spans="1:26" ht="14.25" customHeight="1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</row>
    <row r="410" spans="1:26" ht="14.25" customHeight="1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</row>
    <row r="411" spans="1:26" ht="14.25" customHeight="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</row>
    <row r="412" spans="1:26" ht="14.25" customHeight="1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</row>
    <row r="413" spans="1:26" ht="14.25" customHeight="1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</row>
    <row r="414" spans="1:26" ht="14.25" customHeight="1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</row>
    <row r="415" spans="1:26" ht="14.25" customHeight="1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</row>
    <row r="416" spans="1:26" ht="14.25" customHeight="1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</row>
    <row r="417" spans="1:26" ht="14.25" customHeight="1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</row>
    <row r="418" spans="1:26" ht="14.25" customHeight="1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</row>
    <row r="419" spans="1:26" ht="14.25" customHeight="1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</row>
    <row r="420" spans="1:26" ht="14.25" customHeight="1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</row>
    <row r="421" spans="1:26" ht="14.25" customHeight="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</row>
    <row r="422" spans="1:26" ht="14.25" customHeight="1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</row>
    <row r="423" spans="1:26" ht="14.25" customHeight="1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</row>
    <row r="424" spans="1:26" ht="14.25" customHeight="1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</row>
    <row r="425" spans="1:26" ht="14.25" customHeight="1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</row>
    <row r="426" spans="1:26" ht="14.25" customHeight="1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</row>
    <row r="427" spans="1:26" ht="14.25" customHeight="1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</row>
    <row r="428" spans="1:26" ht="14.25" customHeight="1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</row>
    <row r="429" spans="1:26" ht="14.25" customHeight="1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</row>
    <row r="430" spans="1:26" ht="14.25" customHeight="1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</row>
    <row r="431" spans="1:26" ht="14.25" customHeight="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</row>
    <row r="432" spans="1:26" ht="14.25" customHeight="1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</row>
    <row r="433" spans="1:26" ht="14.25" customHeight="1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</row>
    <row r="434" spans="1:26" ht="14.25" customHeight="1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</row>
    <row r="435" spans="1:26" ht="14.25" customHeight="1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</row>
    <row r="436" spans="1:26" ht="14.25" customHeight="1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</row>
    <row r="437" spans="1:26" ht="14.25" customHeight="1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</row>
    <row r="438" spans="1:26" ht="14.25" customHeight="1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</row>
    <row r="439" spans="1:26" ht="14.25" customHeight="1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</row>
    <row r="440" spans="1:26" ht="14.25" customHeight="1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</row>
    <row r="441" spans="1:26" ht="14.25" customHeight="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</row>
    <row r="442" spans="1:26" ht="14.25" customHeight="1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</row>
    <row r="443" spans="1:26" ht="14.25" customHeight="1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</row>
    <row r="444" spans="1:26" ht="14.25" customHeight="1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</row>
    <row r="445" spans="1:26" ht="14.25" customHeight="1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</row>
    <row r="446" spans="1:26" ht="14.25" customHeight="1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</row>
    <row r="447" spans="1:26" ht="14.25" customHeight="1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</row>
    <row r="448" spans="1:26" ht="14.25" customHeight="1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</row>
    <row r="449" spans="1:26" ht="14.25" customHeight="1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</row>
    <row r="450" spans="1:26" ht="14.25" customHeight="1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</row>
    <row r="451" spans="1:26" ht="14.25" customHeight="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</row>
    <row r="452" spans="1:26" ht="14.25" customHeight="1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</row>
    <row r="453" spans="1:26" ht="14.25" customHeight="1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</row>
    <row r="454" spans="1:26" ht="14.25" customHeight="1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</row>
    <row r="455" spans="1:26" ht="14.25" customHeight="1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</row>
    <row r="456" spans="1:26" ht="14.25" customHeight="1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</row>
    <row r="457" spans="1:26" ht="14.25" customHeight="1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</row>
    <row r="458" spans="1:26" ht="14.25" customHeight="1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</row>
    <row r="459" spans="1:26" ht="14.25" customHeight="1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</row>
    <row r="460" spans="1:26" ht="14.25" customHeight="1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</row>
    <row r="461" spans="1:26" ht="14.25" customHeight="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</row>
    <row r="462" spans="1:26" ht="14.25" customHeight="1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</row>
    <row r="463" spans="1:26" ht="14.25" customHeight="1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</row>
    <row r="464" spans="1:26" ht="14.25" customHeight="1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</row>
    <row r="465" spans="1:26" ht="14.25" customHeight="1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</row>
    <row r="466" spans="1:26" ht="14.25" customHeight="1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</row>
    <row r="467" spans="1:26" ht="14.25" customHeight="1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</row>
    <row r="468" spans="1:26" ht="14.25" customHeight="1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</row>
    <row r="469" spans="1:26" ht="14.25" customHeight="1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</row>
    <row r="470" spans="1:26" ht="14.25" customHeight="1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</row>
    <row r="471" spans="1:26" ht="14.25" customHeight="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</row>
    <row r="472" spans="1:26" ht="14.25" customHeight="1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</row>
    <row r="473" spans="1:26" ht="14.25" customHeight="1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</row>
    <row r="474" spans="1:26" ht="14.25" customHeight="1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</row>
    <row r="475" spans="1:26" ht="14.25" customHeight="1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</row>
    <row r="476" spans="1:26" ht="14.25" customHeight="1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</row>
    <row r="477" spans="1:26" ht="14.25" customHeight="1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</row>
    <row r="478" spans="1:26" ht="14.25" customHeight="1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</row>
    <row r="479" spans="1:26" ht="14.25" customHeight="1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</row>
    <row r="480" spans="1:26" ht="14.25" customHeight="1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</row>
    <row r="481" spans="1:26" ht="14.25" customHeight="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</row>
    <row r="482" spans="1:26" ht="14.25" customHeight="1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</row>
    <row r="483" spans="1:26" ht="14.25" customHeight="1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</row>
    <row r="484" spans="1:26" ht="14.25" customHeight="1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</row>
    <row r="485" spans="1:26" ht="14.25" customHeight="1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</row>
    <row r="486" spans="1:26" ht="14.25" customHeight="1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</row>
    <row r="487" spans="1:26" ht="14.25" customHeight="1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</row>
    <row r="488" spans="1:26" ht="14.25" customHeight="1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</row>
    <row r="489" spans="1:26" ht="14.25" customHeight="1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</row>
    <row r="490" spans="1:26" ht="14.25" customHeight="1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</row>
    <row r="491" spans="1:26" ht="14.25" customHeight="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</row>
    <row r="492" spans="1:26" ht="14.25" customHeight="1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</row>
    <row r="493" spans="1:26" ht="14.25" customHeight="1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</row>
    <row r="494" spans="1:26" ht="14.25" customHeight="1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</row>
    <row r="495" spans="1:26" ht="14.25" customHeight="1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</row>
    <row r="496" spans="1:26" ht="14.25" customHeight="1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</row>
    <row r="497" spans="1:26" ht="14.25" customHeight="1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</row>
    <row r="498" spans="1:26" ht="14.25" customHeight="1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</row>
    <row r="499" spans="1:26" ht="14.25" customHeight="1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</row>
    <row r="500" spans="1:26" ht="14.25" customHeight="1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</row>
    <row r="501" spans="1:26" ht="14.25" customHeight="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</row>
    <row r="502" spans="1:26" ht="14.25" customHeight="1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</row>
    <row r="503" spans="1:26" ht="14.25" customHeight="1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</row>
    <row r="504" spans="1:26" ht="14.25" customHeight="1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</row>
    <row r="505" spans="1:26" ht="14.25" customHeight="1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</row>
    <row r="506" spans="1:26" ht="14.25" customHeight="1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</row>
    <row r="507" spans="1:26" ht="14.25" customHeight="1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</row>
    <row r="508" spans="1:26" ht="14.25" customHeight="1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</row>
    <row r="509" spans="1:26" ht="14.25" customHeight="1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</row>
    <row r="510" spans="1:26" ht="14.25" customHeight="1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</row>
    <row r="511" spans="1:26" ht="14.25" customHeight="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</row>
    <row r="512" spans="1:26" ht="14.25" customHeight="1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</row>
    <row r="513" spans="1:26" ht="14.25" customHeight="1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</row>
    <row r="514" spans="1:26" ht="14.25" customHeight="1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</row>
    <row r="515" spans="1:26" ht="14.25" customHeight="1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</row>
    <row r="516" spans="1:26" ht="14.25" customHeight="1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</row>
    <row r="517" spans="1:26" ht="14.25" customHeight="1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</row>
    <row r="518" spans="1:26" ht="14.25" customHeight="1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</row>
    <row r="519" spans="1:26" ht="14.25" customHeight="1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</row>
    <row r="520" spans="1:26" ht="14.25" customHeight="1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</row>
    <row r="521" spans="1:26" ht="14.25" customHeight="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</row>
    <row r="522" spans="1:26" ht="14.25" customHeight="1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</row>
    <row r="523" spans="1:26" ht="14.25" customHeight="1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</row>
    <row r="524" spans="1:26" ht="14.25" customHeight="1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</row>
    <row r="525" spans="1:26" ht="14.25" customHeight="1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</row>
    <row r="526" spans="1:26" ht="14.25" customHeight="1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</row>
    <row r="527" spans="1:26" ht="14.25" customHeight="1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</row>
    <row r="528" spans="1:26" ht="14.25" customHeight="1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</row>
    <row r="529" spans="1:26" ht="14.25" customHeight="1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</row>
    <row r="530" spans="1:26" ht="14.25" customHeight="1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</row>
    <row r="531" spans="1:26" ht="14.25" customHeight="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</row>
    <row r="532" spans="1:26" ht="14.25" customHeight="1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</row>
    <row r="533" spans="1:26" ht="14.25" customHeight="1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</row>
    <row r="534" spans="1:26" ht="14.25" customHeight="1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</row>
    <row r="535" spans="1:26" ht="14.25" customHeight="1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</row>
    <row r="536" spans="1:26" ht="14.25" customHeight="1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</row>
    <row r="537" spans="1:26" ht="14.25" customHeight="1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</row>
    <row r="538" spans="1:26" ht="14.25" customHeight="1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</row>
    <row r="539" spans="1:26" ht="14.25" customHeight="1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</row>
    <row r="540" spans="1:26" ht="14.25" customHeight="1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</row>
    <row r="541" spans="1:26" ht="14.25" customHeight="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</row>
    <row r="542" spans="1:26" ht="14.25" customHeight="1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</row>
    <row r="543" spans="1:26" ht="14.25" customHeight="1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</row>
    <row r="544" spans="1:26" ht="14.25" customHeight="1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</row>
    <row r="545" spans="1:26" ht="14.25" customHeight="1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</row>
    <row r="546" spans="1:26" ht="14.25" customHeight="1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</row>
    <row r="547" spans="1:26" ht="14.25" customHeight="1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</row>
    <row r="548" spans="1:26" ht="14.25" customHeight="1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</row>
    <row r="549" spans="1:26" ht="14.25" customHeight="1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</row>
    <row r="550" spans="1:26" ht="14.25" customHeight="1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</row>
    <row r="551" spans="1:26" ht="14.25" customHeight="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</row>
    <row r="552" spans="1:26" ht="14.25" customHeight="1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</row>
    <row r="553" spans="1:26" ht="14.25" customHeight="1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</row>
    <row r="554" spans="1:26" ht="14.25" customHeight="1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</row>
    <row r="555" spans="1:26" ht="14.25" customHeight="1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</row>
    <row r="556" spans="1:26" ht="14.25" customHeight="1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</row>
    <row r="557" spans="1:26" ht="14.25" customHeight="1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</row>
    <row r="558" spans="1:26" ht="14.25" customHeight="1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</row>
    <row r="559" spans="1:26" ht="14.25" customHeight="1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</row>
    <row r="560" spans="1:26" ht="14.25" customHeight="1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</row>
    <row r="561" spans="1:26" ht="14.25" customHeight="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</row>
    <row r="562" spans="1:26" ht="14.25" customHeight="1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</row>
    <row r="563" spans="1:26" ht="14.25" customHeight="1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</row>
    <row r="564" spans="1:26" ht="14.25" customHeight="1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</row>
    <row r="565" spans="1:26" ht="14.25" customHeight="1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</row>
    <row r="566" spans="1:26" ht="14.25" customHeight="1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</row>
    <row r="567" spans="1:26" ht="14.25" customHeight="1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</row>
    <row r="568" spans="1:26" ht="14.25" customHeight="1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</row>
    <row r="569" spans="1:26" ht="14.25" customHeight="1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</row>
    <row r="570" spans="1:26" ht="14.25" customHeight="1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</row>
    <row r="571" spans="1:26" ht="14.25" customHeight="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</row>
    <row r="572" spans="1:26" ht="14.25" customHeight="1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</row>
    <row r="573" spans="1:26" ht="14.25" customHeight="1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</row>
    <row r="574" spans="1:26" ht="14.25" customHeight="1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</row>
    <row r="575" spans="1:26" ht="14.25" customHeight="1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</row>
    <row r="576" spans="1:26" ht="14.25" customHeight="1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</row>
    <row r="577" spans="1:26" ht="14.25" customHeight="1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</row>
    <row r="578" spans="1:26" ht="14.25" customHeight="1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</row>
    <row r="579" spans="1:26" ht="14.25" customHeight="1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</row>
    <row r="580" spans="1:26" ht="14.25" customHeight="1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</row>
    <row r="581" spans="1:26" ht="14.25" customHeight="1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</row>
    <row r="582" spans="1:26" ht="14.25" customHeight="1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</row>
    <row r="583" spans="1:26" ht="14.25" customHeight="1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</row>
    <row r="584" spans="1:26" ht="14.25" customHeight="1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</row>
    <row r="585" spans="1:26" ht="14.25" customHeight="1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</row>
    <row r="586" spans="1:26" ht="14.25" customHeight="1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</row>
    <row r="587" spans="1:26" ht="14.25" customHeight="1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</row>
    <row r="588" spans="1:26" ht="14.25" customHeight="1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</row>
    <row r="589" spans="1:26" ht="14.25" customHeight="1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</row>
    <row r="590" spans="1:26" ht="14.25" customHeight="1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</row>
    <row r="591" spans="1:26" ht="14.25" customHeight="1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</row>
    <row r="592" spans="1:26" ht="14.25" customHeight="1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</row>
    <row r="593" spans="1:26" ht="14.25" customHeight="1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</row>
    <row r="594" spans="1:26" ht="14.25" customHeight="1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</row>
    <row r="595" spans="1:26" ht="14.25" customHeight="1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</row>
    <row r="596" spans="1:26" ht="14.25" customHeight="1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</row>
    <row r="597" spans="1:26" ht="14.25" customHeight="1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</row>
    <row r="598" spans="1:26" ht="14.25" customHeight="1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</row>
    <row r="599" spans="1:26" ht="14.25" customHeight="1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</row>
    <row r="600" spans="1:26" ht="14.25" customHeight="1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</row>
    <row r="601" spans="1:26" ht="14.25" customHeight="1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</row>
    <row r="602" spans="1:26" ht="14.25" customHeight="1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</row>
    <row r="603" spans="1:26" ht="14.25" customHeight="1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</row>
    <row r="604" spans="1:26" ht="14.25" customHeight="1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</row>
    <row r="605" spans="1:26" ht="14.25" customHeight="1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</row>
    <row r="606" spans="1:26" ht="14.25" customHeight="1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</row>
    <row r="607" spans="1:26" ht="14.25" customHeight="1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</row>
    <row r="608" spans="1:26" ht="14.25" customHeight="1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</row>
    <row r="609" spans="1:26" ht="14.25" customHeight="1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</row>
    <row r="610" spans="1:26" ht="14.25" customHeight="1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</row>
    <row r="611" spans="1:26" ht="14.25" customHeight="1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</row>
    <row r="612" spans="1:26" ht="14.25" customHeight="1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</row>
    <row r="613" spans="1:26" ht="14.25" customHeight="1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</row>
    <row r="614" spans="1:26" ht="14.25" customHeight="1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</row>
    <row r="615" spans="1:26" ht="14.25" customHeight="1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</row>
    <row r="616" spans="1:26" ht="14.25" customHeight="1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</row>
    <row r="617" spans="1:26" ht="14.25" customHeight="1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</row>
    <row r="618" spans="1:26" ht="14.25" customHeight="1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</row>
    <row r="619" spans="1:26" ht="14.25" customHeight="1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</row>
    <row r="620" spans="1:26" ht="14.25" customHeight="1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</row>
    <row r="621" spans="1:26" ht="14.25" customHeight="1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</row>
    <row r="622" spans="1:26" ht="14.25" customHeight="1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</row>
    <row r="623" spans="1:26" ht="14.25" customHeight="1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</row>
    <row r="624" spans="1:26" ht="14.25" customHeight="1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</row>
    <row r="625" spans="1:26" ht="14.25" customHeight="1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</row>
    <row r="626" spans="1:26" ht="14.25" customHeight="1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</row>
    <row r="627" spans="1:26" ht="14.25" customHeight="1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</row>
    <row r="628" spans="1:26" ht="14.25" customHeight="1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</row>
    <row r="629" spans="1:26" ht="14.25" customHeight="1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</row>
    <row r="630" spans="1:26" ht="14.25" customHeight="1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</row>
    <row r="631" spans="1:26" ht="14.25" customHeight="1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</row>
    <row r="632" spans="1:26" ht="14.25" customHeight="1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</row>
    <row r="633" spans="1:26" ht="14.25" customHeight="1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</row>
    <row r="634" spans="1:26" ht="14.25" customHeight="1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</row>
    <row r="635" spans="1:26" ht="14.25" customHeight="1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</row>
    <row r="636" spans="1:26" ht="14.25" customHeight="1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</row>
    <row r="637" spans="1:26" ht="14.25" customHeight="1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</row>
    <row r="638" spans="1:26" ht="14.25" customHeight="1">
      <c r="A638" s="161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</row>
    <row r="639" spans="1:26" ht="14.25" customHeight="1">
      <c r="A639" s="161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</row>
    <row r="640" spans="1:26" ht="14.25" customHeight="1">
      <c r="A640" s="161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</row>
    <row r="641" spans="1:26" ht="14.25" customHeight="1">
      <c r="A641" s="161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</row>
    <row r="642" spans="1:26" ht="14.25" customHeight="1">
      <c r="A642" s="161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</row>
    <row r="643" spans="1:26" ht="14.25" customHeight="1">
      <c r="A643" s="161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</row>
    <row r="644" spans="1:26" ht="14.25" customHeight="1">
      <c r="A644" s="161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</row>
    <row r="645" spans="1:26" ht="14.25" customHeight="1">
      <c r="A645" s="161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</row>
    <row r="646" spans="1:26" ht="14.25" customHeight="1">
      <c r="A646" s="161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</row>
    <row r="647" spans="1:26" ht="14.25" customHeight="1">
      <c r="A647" s="161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</row>
    <row r="648" spans="1:26" ht="14.25" customHeight="1">
      <c r="A648" s="161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</row>
    <row r="649" spans="1:26" ht="14.25" customHeight="1">
      <c r="A649" s="161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</row>
    <row r="650" spans="1:26" ht="14.25" customHeight="1">
      <c r="A650" s="161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</row>
    <row r="651" spans="1:26" ht="14.25" customHeight="1">
      <c r="A651" s="161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</row>
    <row r="652" spans="1:26" ht="14.25" customHeight="1">
      <c r="A652" s="161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</row>
    <row r="653" spans="1:26" ht="14.25" customHeight="1">
      <c r="A653" s="161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</row>
    <row r="654" spans="1:26" ht="14.25" customHeight="1">
      <c r="A654" s="161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</row>
    <row r="655" spans="1:26" ht="14.25" customHeight="1">
      <c r="A655" s="161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</row>
    <row r="656" spans="1:26" ht="14.25" customHeight="1">
      <c r="A656" s="161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</row>
    <row r="657" spans="1:26" ht="14.25" customHeight="1">
      <c r="A657" s="161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</row>
    <row r="658" spans="1:26" ht="14.25" customHeight="1">
      <c r="A658" s="161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</row>
    <row r="659" spans="1:26" ht="14.25" customHeight="1">
      <c r="A659" s="161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</row>
    <row r="660" spans="1:26" ht="14.25" customHeight="1">
      <c r="A660" s="161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</row>
    <row r="661" spans="1:26" ht="14.25" customHeight="1">
      <c r="A661" s="161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</row>
    <row r="662" spans="1:26" ht="14.25" customHeight="1">
      <c r="A662" s="161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</row>
    <row r="663" spans="1:26" ht="14.25" customHeight="1">
      <c r="A663" s="161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</row>
    <row r="664" spans="1:26" ht="14.25" customHeight="1">
      <c r="A664" s="161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</row>
    <row r="665" spans="1:26" ht="14.25" customHeight="1">
      <c r="A665" s="161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</row>
    <row r="666" spans="1:26" ht="14.25" customHeight="1">
      <c r="A666" s="161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</row>
    <row r="667" spans="1:26" ht="14.25" customHeight="1">
      <c r="A667" s="161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</row>
    <row r="668" spans="1:26" ht="14.25" customHeight="1">
      <c r="A668" s="161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</row>
    <row r="669" spans="1:26" ht="14.25" customHeight="1">
      <c r="A669" s="161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</row>
    <row r="670" spans="1:26" ht="14.25" customHeight="1">
      <c r="A670" s="161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</row>
    <row r="671" spans="1:26" ht="14.25" customHeight="1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</row>
    <row r="672" spans="1:26" ht="14.25" customHeight="1">
      <c r="A672" s="161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</row>
    <row r="673" spans="1:26" ht="14.25" customHeight="1">
      <c r="A673" s="161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</row>
    <row r="674" spans="1:26" ht="14.25" customHeight="1">
      <c r="A674" s="161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</row>
    <row r="675" spans="1:26" ht="14.25" customHeight="1">
      <c r="A675" s="161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</row>
    <row r="676" spans="1:26" ht="14.25" customHeight="1">
      <c r="A676" s="161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</row>
    <row r="677" spans="1:26" ht="14.25" customHeight="1">
      <c r="A677" s="161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</row>
    <row r="678" spans="1:26" ht="14.25" customHeight="1">
      <c r="A678" s="161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</row>
    <row r="679" spans="1:26" ht="14.25" customHeight="1">
      <c r="A679" s="161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</row>
    <row r="680" spans="1:26" ht="14.25" customHeight="1">
      <c r="A680" s="161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</row>
    <row r="681" spans="1:26" ht="14.25" customHeight="1">
      <c r="A681" s="161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</row>
    <row r="682" spans="1:26" ht="14.25" customHeight="1">
      <c r="A682" s="161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</row>
    <row r="683" spans="1:26" ht="14.25" customHeight="1">
      <c r="A683" s="161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</row>
    <row r="684" spans="1:26" ht="14.25" customHeight="1">
      <c r="A684" s="161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</row>
    <row r="685" spans="1:26" ht="14.25" customHeight="1">
      <c r="A685" s="161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</row>
    <row r="686" spans="1:26" ht="14.25" customHeight="1">
      <c r="A686" s="161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</row>
    <row r="687" spans="1:26" ht="14.25" customHeight="1">
      <c r="A687" s="161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</row>
    <row r="688" spans="1:26" ht="14.25" customHeight="1">
      <c r="A688" s="161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</row>
    <row r="689" spans="1:26" ht="14.25" customHeight="1">
      <c r="A689" s="161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</row>
    <row r="690" spans="1:26" ht="14.25" customHeight="1">
      <c r="A690" s="161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</row>
    <row r="691" spans="1:26" ht="14.25" customHeight="1">
      <c r="A691" s="161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</row>
    <row r="692" spans="1:26" ht="14.25" customHeight="1">
      <c r="A692" s="161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</row>
    <row r="693" spans="1:26" ht="14.25" customHeight="1">
      <c r="A693" s="161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</row>
    <row r="694" spans="1:26" ht="14.25" customHeight="1">
      <c r="A694" s="161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</row>
    <row r="695" spans="1:26" ht="14.25" customHeight="1">
      <c r="A695" s="161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</row>
    <row r="696" spans="1:26" ht="14.25" customHeight="1">
      <c r="A696" s="161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</row>
    <row r="697" spans="1:26" ht="14.25" customHeight="1">
      <c r="A697" s="161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</row>
    <row r="698" spans="1:26" ht="14.25" customHeight="1">
      <c r="A698" s="161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</row>
    <row r="699" spans="1:26" ht="14.25" customHeight="1">
      <c r="A699" s="161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</row>
    <row r="700" spans="1:26" ht="14.25" customHeight="1">
      <c r="A700" s="161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</row>
    <row r="701" spans="1:26" ht="14.25" customHeight="1">
      <c r="A701" s="161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</row>
    <row r="702" spans="1:26" ht="14.25" customHeight="1">
      <c r="A702" s="161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</row>
    <row r="703" spans="1:26" ht="14.25" customHeight="1">
      <c r="A703" s="161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</row>
    <row r="704" spans="1:26" ht="14.25" customHeight="1">
      <c r="A704" s="161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</row>
    <row r="705" spans="1:26" ht="14.25" customHeight="1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</row>
    <row r="706" spans="1:26" ht="14.25" customHeight="1">
      <c r="A706" s="161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</row>
    <row r="707" spans="1:26" ht="14.25" customHeight="1">
      <c r="A707" s="161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</row>
    <row r="708" spans="1:26" ht="14.25" customHeight="1">
      <c r="A708" s="161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</row>
    <row r="709" spans="1:26" ht="14.25" customHeight="1">
      <c r="A709" s="161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</row>
    <row r="710" spans="1:26" ht="14.25" customHeight="1">
      <c r="A710" s="161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</row>
    <row r="711" spans="1:26" ht="14.25" customHeight="1">
      <c r="A711" s="161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</row>
    <row r="712" spans="1:26" ht="14.25" customHeight="1">
      <c r="A712" s="161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</row>
    <row r="713" spans="1:26" ht="14.25" customHeight="1">
      <c r="A713" s="161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</row>
    <row r="714" spans="1:26" ht="14.25" customHeight="1">
      <c r="A714" s="161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</row>
    <row r="715" spans="1:26" ht="14.25" customHeight="1">
      <c r="A715" s="161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</row>
    <row r="716" spans="1:26" ht="14.25" customHeight="1">
      <c r="A716" s="161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</row>
    <row r="717" spans="1:26" ht="14.25" customHeight="1">
      <c r="A717" s="161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</row>
    <row r="718" spans="1:26" ht="14.25" customHeight="1">
      <c r="A718" s="161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</row>
    <row r="719" spans="1:26" ht="14.25" customHeight="1">
      <c r="A719" s="161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</row>
    <row r="720" spans="1:26" ht="14.25" customHeight="1">
      <c r="A720" s="161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</row>
    <row r="721" spans="1:26" ht="14.25" customHeight="1">
      <c r="A721" s="161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</row>
    <row r="722" spans="1:26" ht="14.25" customHeight="1">
      <c r="A722" s="161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</row>
    <row r="723" spans="1:26" ht="14.25" customHeight="1">
      <c r="A723" s="161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</row>
    <row r="724" spans="1:26" ht="14.25" customHeight="1">
      <c r="A724" s="161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</row>
    <row r="725" spans="1:26" ht="14.25" customHeight="1">
      <c r="A725" s="161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</row>
    <row r="726" spans="1:26" ht="14.25" customHeight="1">
      <c r="A726" s="161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</row>
    <row r="727" spans="1:26" ht="14.25" customHeight="1">
      <c r="A727" s="161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</row>
    <row r="728" spans="1:26" ht="14.25" customHeight="1">
      <c r="A728" s="161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</row>
    <row r="729" spans="1:26" ht="14.25" customHeight="1">
      <c r="A729" s="161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</row>
    <row r="730" spans="1:26" ht="14.25" customHeight="1">
      <c r="A730" s="161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</row>
    <row r="731" spans="1:26" ht="14.25" customHeight="1">
      <c r="A731" s="161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</row>
    <row r="732" spans="1:26" ht="14.25" customHeight="1">
      <c r="A732" s="161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</row>
    <row r="733" spans="1:26" ht="14.25" customHeight="1">
      <c r="A733" s="161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</row>
    <row r="734" spans="1:26" ht="14.25" customHeight="1">
      <c r="A734" s="161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</row>
    <row r="735" spans="1:26" ht="14.25" customHeight="1">
      <c r="A735" s="161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</row>
    <row r="736" spans="1:26" ht="14.25" customHeight="1">
      <c r="A736" s="161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</row>
    <row r="737" spans="1:26" ht="14.25" customHeight="1">
      <c r="A737" s="161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</row>
    <row r="738" spans="1:26" ht="14.25" customHeight="1">
      <c r="A738" s="161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</row>
    <row r="739" spans="1:26" ht="14.25" customHeight="1">
      <c r="A739" s="161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</row>
    <row r="740" spans="1:26" ht="14.25" customHeight="1">
      <c r="A740" s="161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</row>
    <row r="741" spans="1:26" ht="14.25" customHeight="1">
      <c r="A741" s="161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</row>
    <row r="742" spans="1:26" ht="14.25" customHeight="1">
      <c r="A742" s="161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</row>
    <row r="743" spans="1:26" ht="14.25" customHeight="1">
      <c r="A743" s="161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</row>
    <row r="744" spans="1:26" ht="14.25" customHeight="1">
      <c r="A744" s="161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</row>
    <row r="745" spans="1:26" ht="14.25" customHeight="1">
      <c r="A745" s="161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</row>
    <row r="746" spans="1:26" ht="14.25" customHeight="1">
      <c r="A746" s="161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</row>
    <row r="747" spans="1:26" ht="14.25" customHeight="1">
      <c r="A747" s="161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</row>
    <row r="748" spans="1:26" ht="14.25" customHeight="1">
      <c r="A748" s="161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</row>
    <row r="749" spans="1:26" ht="14.25" customHeight="1">
      <c r="A749" s="161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</row>
    <row r="750" spans="1:26" ht="14.25" customHeight="1">
      <c r="A750" s="161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</row>
    <row r="751" spans="1:26" ht="14.25" customHeight="1">
      <c r="A751" s="161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</row>
    <row r="752" spans="1:26" ht="14.25" customHeight="1">
      <c r="A752" s="161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</row>
    <row r="753" spans="1:26" ht="14.25" customHeight="1">
      <c r="A753" s="161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</row>
    <row r="754" spans="1:26" ht="14.25" customHeight="1">
      <c r="A754" s="161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</row>
    <row r="755" spans="1:26" ht="14.25" customHeight="1">
      <c r="A755" s="161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</row>
    <row r="756" spans="1:26" ht="14.25" customHeight="1">
      <c r="A756" s="161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</row>
    <row r="757" spans="1:26" ht="14.25" customHeight="1">
      <c r="A757" s="161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</row>
    <row r="758" spans="1:26" ht="14.25" customHeight="1">
      <c r="A758" s="161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</row>
    <row r="759" spans="1:26" ht="14.25" customHeight="1">
      <c r="A759" s="161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</row>
    <row r="760" spans="1:26" ht="14.25" customHeight="1">
      <c r="A760" s="161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</row>
    <row r="761" spans="1:26" ht="14.25" customHeight="1">
      <c r="A761" s="161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</row>
    <row r="762" spans="1:26" ht="14.25" customHeight="1">
      <c r="A762" s="161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</row>
    <row r="763" spans="1:26" ht="14.25" customHeight="1">
      <c r="A763" s="161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</row>
    <row r="764" spans="1:26" ht="14.25" customHeight="1">
      <c r="A764" s="161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</row>
    <row r="765" spans="1:26" ht="14.25" customHeight="1">
      <c r="A765" s="161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</row>
    <row r="766" spans="1:26" ht="14.25" customHeight="1">
      <c r="A766" s="161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</row>
    <row r="767" spans="1:26" ht="14.25" customHeight="1">
      <c r="A767" s="161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</row>
    <row r="768" spans="1:26" ht="14.25" customHeight="1">
      <c r="A768" s="161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</row>
    <row r="769" spans="1:26" ht="14.25" customHeight="1">
      <c r="A769" s="161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</row>
    <row r="770" spans="1:26" ht="14.25" customHeight="1">
      <c r="A770" s="161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</row>
    <row r="771" spans="1:26" ht="14.25" customHeight="1">
      <c r="A771" s="161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</row>
    <row r="772" spans="1:26" ht="14.25" customHeight="1">
      <c r="A772" s="161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</row>
    <row r="773" spans="1:26" ht="14.25" customHeight="1">
      <c r="A773" s="161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</row>
    <row r="774" spans="1:26" ht="14.25" customHeight="1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</row>
    <row r="775" spans="1:26" ht="14.25" customHeight="1">
      <c r="A775" s="161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</row>
    <row r="776" spans="1:26" ht="14.25" customHeight="1">
      <c r="A776" s="161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</row>
    <row r="777" spans="1:26" ht="14.25" customHeight="1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</row>
    <row r="778" spans="1:26" ht="14.25" customHeight="1">
      <c r="A778" s="161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</row>
    <row r="779" spans="1:26" ht="14.25" customHeight="1">
      <c r="A779" s="161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</row>
    <row r="780" spans="1:26" ht="14.25" customHeight="1">
      <c r="A780" s="161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</row>
    <row r="781" spans="1:26" ht="14.25" customHeight="1">
      <c r="A781" s="161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</row>
    <row r="782" spans="1:26" ht="14.25" customHeight="1">
      <c r="A782" s="161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</row>
    <row r="783" spans="1:26" ht="14.25" customHeight="1">
      <c r="A783" s="161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</row>
    <row r="784" spans="1:26" ht="14.25" customHeight="1">
      <c r="A784" s="161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</row>
    <row r="785" spans="1:26" ht="14.25" customHeight="1">
      <c r="A785" s="161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</row>
    <row r="786" spans="1:26" ht="14.25" customHeight="1">
      <c r="A786" s="161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</row>
    <row r="787" spans="1:26" ht="14.25" customHeight="1">
      <c r="A787" s="161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</row>
    <row r="788" spans="1:26" ht="14.25" customHeight="1">
      <c r="A788" s="161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</row>
    <row r="789" spans="1:26" ht="14.25" customHeight="1">
      <c r="A789" s="161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</row>
    <row r="790" spans="1:26" ht="14.25" customHeight="1">
      <c r="A790" s="161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</row>
    <row r="791" spans="1:26" ht="14.25" customHeight="1">
      <c r="A791" s="161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</row>
    <row r="792" spans="1:26" ht="14.25" customHeight="1">
      <c r="A792" s="161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</row>
    <row r="793" spans="1:26" ht="14.25" customHeight="1">
      <c r="A793" s="161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</row>
    <row r="794" spans="1:26" ht="14.25" customHeight="1">
      <c r="A794" s="161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</row>
    <row r="795" spans="1:26" ht="14.25" customHeight="1">
      <c r="A795" s="161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</row>
    <row r="796" spans="1:26" ht="14.25" customHeight="1">
      <c r="A796" s="161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</row>
    <row r="797" spans="1:26" ht="14.25" customHeight="1">
      <c r="A797" s="161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</row>
    <row r="798" spans="1:26" ht="14.25" customHeight="1">
      <c r="A798" s="161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</row>
    <row r="799" spans="1:26" ht="14.25" customHeight="1">
      <c r="A799" s="161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</row>
    <row r="800" spans="1:26" ht="14.25" customHeight="1">
      <c r="A800" s="161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</row>
    <row r="801" spans="1:26" ht="14.25" customHeight="1">
      <c r="A801" s="161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</row>
    <row r="802" spans="1:26" ht="14.25" customHeight="1">
      <c r="A802" s="161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</row>
    <row r="803" spans="1:26" ht="14.25" customHeight="1">
      <c r="A803" s="161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</row>
    <row r="804" spans="1:26" ht="14.25" customHeight="1">
      <c r="A804" s="161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</row>
    <row r="805" spans="1:26" ht="14.25" customHeight="1">
      <c r="A805" s="161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</row>
    <row r="806" spans="1:26" ht="14.25" customHeight="1">
      <c r="A806" s="161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</row>
    <row r="807" spans="1:26" ht="14.25" customHeight="1">
      <c r="A807" s="161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</row>
    <row r="808" spans="1:26" ht="14.25" customHeight="1">
      <c r="A808" s="161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</row>
    <row r="809" spans="1:26" ht="14.25" customHeight="1">
      <c r="A809" s="161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</row>
    <row r="810" spans="1:26" ht="14.25" customHeight="1">
      <c r="A810" s="161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</row>
    <row r="811" spans="1:26" ht="14.25" customHeight="1">
      <c r="A811" s="161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</row>
    <row r="812" spans="1:26" ht="14.25" customHeight="1">
      <c r="A812" s="161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</row>
    <row r="813" spans="1:26" ht="14.25" customHeight="1">
      <c r="A813" s="161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</row>
    <row r="814" spans="1:26" ht="14.25" customHeight="1">
      <c r="A814" s="161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</row>
    <row r="815" spans="1:26" ht="14.25" customHeight="1">
      <c r="A815" s="161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</row>
    <row r="816" spans="1:26" ht="14.25" customHeight="1">
      <c r="A816" s="161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</row>
    <row r="817" spans="1:26" ht="14.25" customHeight="1">
      <c r="A817" s="161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</row>
    <row r="818" spans="1:26" ht="14.25" customHeight="1">
      <c r="A818" s="161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</row>
    <row r="819" spans="1:26" ht="14.25" customHeight="1">
      <c r="A819" s="16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</row>
    <row r="820" spans="1:26" ht="14.25" customHeight="1">
      <c r="A820" s="161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</row>
    <row r="821" spans="1:26" ht="14.25" customHeight="1">
      <c r="A821" s="161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</row>
    <row r="822" spans="1:26" ht="14.25" customHeight="1">
      <c r="A822" s="161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</row>
    <row r="823" spans="1:26" ht="14.25" customHeight="1">
      <c r="A823" s="161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</row>
    <row r="824" spans="1:26" ht="14.25" customHeight="1">
      <c r="A824" s="161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</row>
    <row r="825" spans="1:26" ht="14.25" customHeight="1">
      <c r="A825" s="161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</row>
    <row r="826" spans="1:26" ht="14.25" customHeight="1">
      <c r="A826" s="161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</row>
    <row r="827" spans="1:26" ht="14.25" customHeight="1">
      <c r="A827" s="161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</row>
    <row r="828" spans="1:26" ht="14.25" customHeight="1">
      <c r="A828" s="161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</row>
    <row r="829" spans="1:26" ht="14.25" customHeight="1">
      <c r="A829" s="161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</row>
    <row r="830" spans="1:26" ht="14.25" customHeight="1">
      <c r="A830" s="161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</row>
    <row r="831" spans="1:26" ht="14.25" customHeight="1">
      <c r="A831" s="161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</row>
    <row r="832" spans="1:26" ht="14.25" customHeight="1">
      <c r="A832" s="161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</row>
    <row r="833" spans="1:26" ht="14.25" customHeight="1">
      <c r="A833" s="161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</row>
    <row r="834" spans="1:26" ht="14.25" customHeight="1">
      <c r="A834" s="161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</row>
    <row r="835" spans="1:26" ht="14.25" customHeight="1">
      <c r="A835" s="161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</row>
    <row r="836" spans="1:26" ht="14.25" customHeight="1">
      <c r="A836" s="161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</row>
    <row r="837" spans="1:26" ht="14.25" customHeight="1">
      <c r="A837" s="161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</row>
    <row r="838" spans="1:26" ht="14.25" customHeight="1">
      <c r="A838" s="161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</row>
    <row r="839" spans="1:26" ht="14.25" customHeight="1">
      <c r="A839" s="161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</row>
    <row r="840" spans="1:26" ht="14.25" customHeight="1">
      <c r="A840" s="161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</row>
    <row r="841" spans="1:26" ht="14.25" customHeight="1">
      <c r="A841" s="161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</row>
    <row r="842" spans="1:26" ht="14.25" customHeight="1">
      <c r="A842" s="161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</row>
    <row r="843" spans="1:26" ht="14.25" customHeight="1">
      <c r="A843" s="161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</row>
    <row r="844" spans="1:26" ht="14.25" customHeight="1">
      <c r="A844" s="161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</row>
    <row r="845" spans="1:26" ht="14.25" customHeight="1">
      <c r="A845" s="161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</row>
    <row r="846" spans="1:26" ht="14.25" customHeight="1">
      <c r="A846" s="161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</row>
    <row r="847" spans="1:26" ht="14.25" customHeight="1">
      <c r="A847" s="161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</row>
    <row r="848" spans="1:26" ht="14.25" customHeight="1">
      <c r="A848" s="161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</row>
    <row r="849" spans="1:26" ht="14.25" customHeight="1">
      <c r="A849" s="161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</row>
    <row r="850" spans="1:26" ht="14.25" customHeight="1">
      <c r="A850" s="161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</row>
    <row r="851" spans="1:26" ht="14.25" customHeight="1">
      <c r="A851" s="161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</row>
    <row r="852" spans="1:26" ht="14.25" customHeight="1">
      <c r="A852" s="161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</row>
    <row r="853" spans="1:26" ht="14.25" customHeight="1">
      <c r="A853" s="161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</row>
    <row r="854" spans="1:26" ht="14.25" customHeight="1">
      <c r="A854" s="161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</row>
    <row r="855" spans="1:26" ht="14.25" customHeight="1">
      <c r="A855" s="161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</row>
    <row r="856" spans="1:26" ht="14.25" customHeight="1">
      <c r="A856" s="161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</row>
    <row r="857" spans="1:26" ht="14.25" customHeight="1">
      <c r="A857" s="161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</row>
    <row r="858" spans="1:26" ht="14.25" customHeight="1">
      <c r="A858" s="161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</row>
    <row r="859" spans="1:26" ht="14.25" customHeight="1">
      <c r="A859" s="161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</row>
    <row r="860" spans="1:26" ht="14.25" customHeight="1">
      <c r="A860" s="161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</row>
    <row r="861" spans="1:26" ht="14.25" customHeight="1">
      <c r="A861" s="161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</row>
    <row r="862" spans="1:26" ht="14.25" customHeight="1">
      <c r="A862" s="161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</row>
    <row r="863" spans="1:26" ht="14.25" customHeight="1">
      <c r="A863" s="161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</row>
    <row r="864" spans="1:26" ht="14.25" customHeight="1">
      <c r="A864" s="161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</row>
    <row r="865" spans="1:26" ht="14.25" customHeight="1">
      <c r="A865" s="161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</row>
    <row r="866" spans="1:26" ht="14.25" customHeight="1">
      <c r="A866" s="161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</row>
    <row r="867" spans="1:26" ht="14.25" customHeight="1">
      <c r="A867" s="161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</row>
    <row r="868" spans="1:26" ht="14.25" customHeight="1">
      <c r="A868" s="161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</row>
    <row r="869" spans="1:26" ht="14.25" customHeight="1">
      <c r="A869" s="161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</row>
    <row r="870" spans="1:26" ht="14.25" customHeight="1">
      <c r="A870" s="161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</row>
    <row r="871" spans="1:26" ht="14.25" customHeight="1">
      <c r="A871" s="161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</row>
    <row r="872" spans="1:26" ht="14.25" customHeight="1">
      <c r="A872" s="161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</row>
    <row r="873" spans="1:26" ht="14.25" customHeight="1">
      <c r="A873" s="161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</row>
    <row r="874" spans="1:26" ht="14.25" customHeight="1">
      <c r="A874" s="161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</row>
    <row r="875" spans="1:26" ht="14.25" customHeight="1">
      <c r="A875" s="161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</row>
    <row r="876" spans="1:26" ht="14.25" customHeight="1">
      <c r="A876" s="161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</row>
    <row r="877" spans="1:26" ht="14.25" customHeight="1">
      <c r="A877" s="161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</row>
    <row r="878" spans="1:26" ht="14.25" customHeight="1">
      <c r="A878" s="161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</row>
    <row r="879" spans="1:26" ht="14.25" customHeight="1">
      <c r="A879" s="161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</row>
    <row r="880" spans="1:26" ht="14.25" customHeight="1">
      <c r="A880" s="161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</row>
    <row r="881" spans="1:26" ht="14.25" customHeight="1">
      <c r="A881" s="161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</row>
    <row r="882" spans="1:26" ht="14.25" customHeight="1">
      <c r="A882" s="161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</row>
    <row r="883" spans="1:26" ht="14.25" customHeight="1">
      <c r="A883" s="161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</row>
    <row r="884" spans="1:26" ht="14.25" customHeight="1">
      <c r="A884" s="161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</row>
    <row r="885" spans="1:26" ht="14.25" customHeight="1">
      <c r="A885" s="161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</row>
    <row r="886" spans="1:26" ht="14.25" customHeight="1">
      <c r="A886" s="161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</row>
    <row r="887" spans="1:26" ht="14.25" customHeight="1">
      <c r="A887" s="161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</row>
    <row r="888" spans="1:26" ht="14.25" customHeight="1">
      <c r="A888" s="161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</row>
    <row r="889" spans="1:26" ht="14.25" customHeight="1">
      <c r="A889" s="161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</row>
    <row r="890" spans="1:26" ht="14.25" customHeight="1">
      <c r="A890" s="161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</row>
    <row r="891" spans="1:26" ht="14.25" customHeight="1">
      <c r="A891" s="161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</row>
    <row r="892" spans="1:26" ht="14.25" customHeight="1">
      <c r="A892" s="161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</row>
    <row r="893" spans="1:26" ht="14.25" customHeight="1">
      <c r="A893" s="161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</row>
    <row r="894" spans="1:26" ht="14.25" customHeight="1">
      <c r="A894" s="161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</row>
    <row r="895" spans="1:26" ht="14.25" customHeight="1">
      <c r="A895" s="161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</row>
    <row r="896" spans="1:26" ht="14.25" customHeight="1">
      <c r="A896" s="161"/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</row>
    <row r="897" spans="1:26" ht="14.25" customHeight="1">
      <c r="A897" s="161"/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</row>
    <row r="898" spans="1:26" ht="14.25" customHeight="1">
      <c r="A898" s="161"/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</row>
    <row r="899" spans="1:26" ht="14.25" customHeight="1">
      <c r="A899" s="161"/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</row>
    <row r="900" spans="1:26" ht="14.25" customHeight="1">
      <c r="A900" s="161"/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</row>
    <row r="901" spans="1:26" ht="14.25" customHeight="1">
      <c r="A901" s="161"/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</row>
    <row r="902" spans="1:26" ht="14.25" customHeight="1">
      <c r="A902" s="161"/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</row>
    <row r="903" spans="1:26" ht="14.25" customHeight="1">
      <c r="A903" s="161"/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</row>
    <row r="904" spans="1:26" ht="14.25" customHeight="1">
      <c r="A904" s="161"/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</row>
    <row r="905" spans="1:26" ht="14.25" customHeight="1">
      <c r="A905" s="161"/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</row>
    <row r="906" spans="1:26" ht="14.25" customHeight="1">
      <c r="A906" s="161"/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</row>
    <row r="907" spans="1:26" ht="14.25" customHeight="1">
      <c r="A907" s="161"/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</row>
    <row r="908" spans="1:26" ht="14.25" customHeight="1">
      <c r="A908" s="161"/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</row>
    <row r="909" spans="1:26" ht="14.25" customHeight="1">
      <c r="A909" s="161"/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</row>
    <row r="910" spans="1:26" ht="14.25" customHeight="1">
      <c r="A910" s="161"/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</row>
    <row r="911" spans="1:26" ht="14.25" customHeight="1">
      <c r="A911" s="161"/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</row>
    <row r="912" spans="1:26" ht="14.25" customHeight="1">
      <c r="A912" s="161"/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</row>
    <row r="913" spans="1:26" ht="14.25" customHeight="1">
      <c r="A913" s="161"/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</row>
    <row r="914" spans="1:26" ht="14.25" customHeight="1">
      <c r="A914" s="161"/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</row>
    <row r="915" spans="1:26" ht="14.25" customHeight="1">
      <c r="A915" s="161"/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</row>
    <row r="916" spans="1:26" ht="14.25" customHeight="1">
      <c r="A916" s="161"/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</row>
    <row r="917" spans="1:26" ht="14.25" customHeight="1">
      <c r="A917" s="161"/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</row>
    <row r="918" spans="1:26" ht="14.25" customHeight="1">
      <c r="A918" s="161"/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</row>
    <row r="919" spans="1:26" ht="14.25" customHeight="1">
      <c r="A919" s="161"/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</row>
    <row r="920" spans="1:26" ht="14.25" customHeight="1">
      <c r="A920" s="161"/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</row>
    <row r="921" spans="1:26" ht="14.25" customHeight="1">
      <c r="A921" s="161"/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</row>
    <row r="922" spans="1:26" ht="14.25" customHeight="1">
      <c r="A922" s="161"/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</row>
    <row r="923" spans="1:26" ht="14.25" customHeight="1">
      <c r="A923" s="161"/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</row>
    <row r="924" spans="1:26" ht="14.25" customHeight="1">
      <c r="A924" s="161"/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</row>
    <row r="925" spans="1:26" ht="14.25" customHeight="1">
      <c r="A925" s="161"/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</row>
    <row r="926" spans="1:26" ht="14.25" customHeight="1">
      <c r="A926" s="161"/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</row>
    <row r="927" spans="1:26" ht="14.25" customHeight="1">
      <c r="A927" s="161"/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</row>
    <row r="928" spans="1:26" ht="14.25" customHeight="1">
      <c r="A928" s="161"/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</row>
    <row r="929" spans="1:26" ht="14.25" customHeight="1">
      <c r="A929" s="161"/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</row>
    <row r="930" spans="1:26" ht="14.25" customHeight="1">
      <c r="A930" s="161"/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</row>
    <row r="931" spans="1:26" ht="14.25" customHeight="1">
      <c r="A931" s="161"/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</row>
    <row r="932" spans="1:26" ht="14.25" customHeight="1">
      <c r="A932" s="161"/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</row>
    <row r="933" spans="1:26" ht="14.25" customHeight="1">
      <c r="A933" s="161"/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</row>
    <row r="934" spans="1:26" ht="14.25" customHeight="1">
      <c r="A934" s="161"/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</row>
    <row r="935" spans="1:26" ht="14.25" customHeight="1">
      <c r="A935" s="161"/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</row>
    <row r="936" spans="1:26" ht="14.25" customHeight="1">
      <c r="A936" s="161"/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</row>
    <row r="937" spans="1:26" ht="14.25" customHeight="1">
      <c r="A937" s="161"/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</row>
    <row r="938" spans="1:26" ht="14.25" customHeight="1">
      <c r="A938" s="161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</row>
    <row r="939" spans="1:26" ht="14.25" customHeight="1">
      <c r="A939" s="161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</row>
    <row r="940" spans="1:26" ht="14.25" customHeight="1">
      <c r="A940" s="161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</row>
    <row r="941" spans="1:26" ht="14.25" customHeight="1">
      <c r="A941" s="161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</row>
    <row r="942" spans="1:26" ht="14.25" customHeight="1">
      <c r="A942" s="161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</row>
    <row r="943" spans="1:26" ht="14.25" customHeight="1">
      <c r="A943" s="161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</row>
    <row r="944" spans="1:26" ht="14.25" customHeight="1">
      <c r="A944" s="161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</row>
    <row r="945" spans="1:26" ht="14.25" customHeight="1">
      <c r="A945" s="161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</row>
    <row r="946" spans="1:26" ht="14.25" customHeight="1">
      <c r="A946" s="161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</row>
    <row r="947" spans="1:26" ht="14.25" customHeight="1">
      <c r="A947" s="161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</row>
    <row r="948" spans="1:26" ht="14.25" customHeight="1">
      <c r="A948" s="161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</row>
    <row r="949" spans="1:26" ht="14.25" customHeight="1">
      <c r="A949" s="161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</row>
    <row r="950" spans="1:26" ht="14.25" customHeight="1">
      <c r="A950" s="161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</row>
    <row r="951" spans="1:26" ht="14.25" customHeight="1">
      <c r="A951" s="161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</row>
    <row r="952" spans="1:26" ht="14.25" customHeight="1">
      <c r="A952" s="161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</row>
    <row r="953" spans="1:26" ht="14.25" customHeight="1">
      <c r="A953" s="161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</row>
    <row r="954" spans="1:26" ht="14.25" customHeight="1">
      <c r="A954" s="161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</row>
    <row r="955" spans="1:26" ht="14.25" customHeight="1">
      <c r="A955" s="161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</row>
    <row r="956" spans="1:26" ht="14.25" customHeight="1">
      <c r="A956" s="161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</row>
    <row r="957" spans="1:26" ht="14.25" customHeight="1">
      <c r="A957" s="161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</row>
    <row r="958" spans="1:26" ht="14.25" customHeight="1">
      <c r="A958" s="161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</row>
    <row r="959" spans="1:26" ht="14.25" customHeight="1">
      <c r="A959" s="161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</row>
    <row r="960" spans="1:26" ht="14.25" customHeight="1">
      <c r="A960" s="161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</row>
    <row r="961" spans="1:26" ht="14.25" customHeight="1">
      <c r="A961" s="161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</row>
    <row r="962" spans="1:26" ht="14.25" customHeight="1">
      <c r="A962" s="161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</row>
    <row r="963" spans="1:26" ht="14.25" customHeight="1">
      <c r="A963" s="161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</row>
    <row r="964" spans="1:26" ht="14.25" customHeight="1">
      <c r="A964" s="161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</row>
    <row r="965" spans="1:26" ht="14.25" customHeight="1">
      <c r="A965" s="161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</row>
    <row r="966" spans="1:26" ht="14.25" customHeight="1">
      <c r="A966" s="161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</row>
    <row r="967" spans="1:26" ht="14.25" customHeight="1">
      <c r="A967" s="161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</row>
    <row r="968" spans="1:26" ht="14.25" customHeight="1">
      <c r="A968" s="161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</row>
    <row r="969" spans="1:26" ht="14.25" customHeight="1">
      <c r="A969" s="161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</row>
    <row r="970" spans="1:26" ht="14.25" customHeight="1">
      <c r="A970" s="161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</row>
    <row r="971" spans="1:26" ht="14.25" customHeight="1">
      <c r="A971" s="161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</row>
    <row r="972" spans="1:26" ht="14.25" customHeight="1">
      <c r="A972" s="161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</row>
    <row r="973" spans="1:26" ht="14.25" customHeight="1">
      <c r="A973" s="161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</row>
    <row r="974" spans="1:26" ht="14.25" customHeight="1">
      <c r="A974" s="161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</row>
    <row r="975" spans="1:26" ht="14.25" customHeight="1">
      <c r="A975" s="161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</row>
    <row r="976" spans="1:26" ht="14.25" customHeight="1">
      <c r="A976" s="161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</row>
    <row r="977" spans="1:26" ht="14.25" customHeight="1">
      <c r="A977" s="161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</row>
    <row r="978" spans="1:26" ht="14.25" customHeight="1">
      <c r="A978" s="161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</row>
    <row r="979" spans="1:26" ht="14.25" customHeight="1">
      <c r="A979" s="161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</row>
    <row r="980" spans="1:26" ht="14.25" customHeight="1">
      <c r="A980" s="161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</row>
    <row r="981" spans="1:26" ht="14.25" customHeight="1">
      <c r="A981" s="161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</row>
    <row r="982" spans="1:26" ht="14.25" customHeight="1">
      <c r="A982" s="161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</row>
    <row r="983" spans="1:26" ht="14.25" customHeight="1">
      <c r="A983" s="161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</row>
    <row r="984" spans="1:26" ht="14.25" customHeight="1">
      <c r="A984" s="161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</row>
    <row r="985" spans="1:26" ht="14.25" customHeight="1">
      <c r="A985" s="161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</row>
    <row r="986" spans="1:26" ht="14.25" customHeight="1">
      <c r="A986" s="161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</row>
    <row r="987" spans="1:26" ht="14.25" customHeight="1">
      <c r="A987" s="161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</row>
    <row r="988" spans="1:26" ht="14.25" customHeight="1">
      <c r="A988" s="161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</row>
    <row r="989" spans="1:26" ht="14.25" customHeight="1">
      <c r="A989" s="161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</row>
    <row r="990" spans="1:26" ht="14.25" customHeight="1">
      <c r="A990" s="161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</row>
    <row r="991" spans="1:26" ht="14.25" customHeight="1">
      <c r="A991" s="161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</row>
    <row r="992" spans="1:26" ht="14.25" customHeight="1">
      <c r="A992" s="161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</row>
    <row r="993" spans="1:26" ht="14.25" customHeight="1">
      <c r="A993" s="161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</row>
    <row r="994" spans="1:26" ht="14.25" customHeight="1">
      <c r="A994" s="161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</row>
    <row r="995" spans="1:26" ht="14.25" customHeight="1">
      <c r="A995" s="161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</row>
    <row r="996" spans="1:26" ht="14.25" customHeight="1">
      <c r="A996" s="161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</row>
    <row r="997" spans="1:26" ht="14.25" customHeight="1">
      <c r="A997" s="161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</row>
    <row r="998" spans="1:26" ht="14.25" customHeight="1">
      <c r="A998" s="161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</row>
    <row r="999" spans="1:26" ht="14.25" customHeight="1">
      <c r="A999" s="161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</row>
    <row r="1000" spans="1:26" ht="14.25" customHeight="1">
      <c r="A1000" s="161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  <c r="Z1000" s="161"/>
    </row>
    <row r="1001" spans="1:26" ht="14.25" customHeight="1">
      <c r="A1001" s="161"/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161"/>
      <c r="R1001" s="161"/>
      <c r="S1001" s="161"/>
      <c r="T1001" s="161"/>
      <c r="U1001" s="161"/>
      <c r="V1001" s="161"/>
      <c r="W1001" s="161"/>
      <c r="X1001" s="161"/>
      <c r="Y1001" s="161"/>
      <c r="Z1001" s="161"/>
    </row>
    <row r="1002" spans="1:26" ht="14.25" customHeight="1">
      <c r="A1002" s="161"/>
      <c r="B1002" s="161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61"/>
      <c r="Q1002" s="161"/>
      <c r="R1002" s="161"/>
      <c r="S1002" s="161"/>
      <c r="T1002" s="161"/>
      <c r="U1002" s="161"/>
      <c r="V1002" s="161"/>
      <c r="W1002" s="161"/>
      <c r="X1002" s="161"/>
      <c r="Y1002" s="161"/>
      <c r="Z1002" s="161"/>
    </row>
  </sheetData>
  <mergeCells count="1">
    <mergeCell ref="A1:J1"/>
  </mergeCells>
  <pageMargins left="0.511811024" right="0.511811024" top="0.78740157499999996" bottom="0.78740157499999996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7CAAC"/>
  </sheetPr>
  <dimension ref="A1:M1000"/>
  <sheetViews>
    <sheetView workbookViewId="0">
      <selection activeCell="H17" sqref="H17:M23"/>
    </sheetView>
  </sheetViews>
  <sheetFormatPr defaultColWidth="14.44140625" defaultRowHeight="15" customHeight="1"/>
  <cols>
    <col min="1" max="1" width="11.33203125" customWidth="1"/>
    <col min="2" max="2" width="10.6640625" customWidth="1"/>
    <col min="3" max="3" width="8.6640625" customWidth="1"/>
    <col min="4" max="4" width="6.5546875" customWidth="1"/>
    <col min="5" max="5" width="5.33203125" customWidth="1"/>
    <col min="6" max="6" width="10.6640625" customWidth="1"/>
    <col min="7" max="7" width="8.44140625" customWidth="1"/>
    <col min="8" max="8" width="11.33203125" customWidth="1"/>
    <col min="9" max="9" width="10.6640625" customWidth="1"/>
    <col min="10" max="11" width="8.6640625" customWidth="1"/>
    <col min="12" max="12" width="4.88671875" customWidth="1"/>
    <col min="13" max="13" width="10.77734375" bestFit="1" customWidth="1"/>
    <col min="14" max="26" width="8.6640625" customWidth="1"/>
  </cols>
  <sheetData>
    <row r="1" spans="1:13" ht="14.25" customHeight="1">
      <c r="A1" s="13" t="s">
        <v>21</v>
      </c>
      <c r="B1" s="487" t="str">
        <f>'Jardim 1A '!A4</f>
        <v>Arthur Boaretto Mendes</v>
      </c>
      <c r="C1" s="485"/>
      <c r="D1" s="486"/>
      <c r="E1" s="14" t="s">
        <v>22</v>
      </c>
      <c r="F1" s="15">
        <f>'Jardim 1A '!B4</f>
        <v>44215</v>
      </c>
      <c r="H1" s="13" t="s">
        <v>21</v>
      </c>
      <c r="I1" s="487" t="str">
        <f>'Jardim 1A '!A11</f>
        <v>Pedro Boaretto Mendes</v>
      </c>
      <c r="J1" s="485"/>
      <c r="K1" s="486"/>
      <c r="L1" s="14" t="s">
        <v>22</v>
      </c>
      <c r="M1" s="15">
        <f>'Jardim 1A '!B11</f>
        <v>44215</v>
      </c>
    </row>
    <row r="2" spans="1:13" ht="14.25" customHeight="1">
      <c r="A2" s="466" t="s">
        <v>23</v>
      </c>
      <c r="B2" s="467"/>
      <c r="C2" s="467"/>
      <c r="D2" s="467"/>
      <c r="E2" s="467"/>
      <c r="F2" s="468"/>
      <c r="H2" s="466" t="s">
        <v>23</v>
      </c>
      <c r="I2" s="467"/>
      <c r="J2" s="467"/>
      <c r="K2" s="467"/>
      <c r="L2" s="467"/>
      <c r="M2" s="468"/>
    </row>
    <row r="3" spans="1:13" ht="14.25" customHeight="1">
      <c r="A3" s="16" t="s">
        <v>24</v>
      </c>
      <c r="B3" s="17">
        <f>'Jardim 1A '!C4</f>
        <v>45729</v>
      </c>
      <c r="C3" s="18" t="s">
        <v>25</v>
      </c>
      <c r="D3" s="469" t="s">
        <v>26</v>
      </c>
      <c r="E3" s="470"/>
      <c r="F3" s="19" t="str">
        <f>'Jardim 1A '!D4</f>
        <v>4a 1m</v>
      </c>
      <c r="H3" s="16" t="s">
        <v>24</v>
      </c>
      <c r="I3" s="17">
        <f>'Jardim 1A '!C11</f>
        <v>45729</v>
      </c>
      <c r="J3" s="18" t="s">
        <v>25</v>
      </c>
      <c r="K3" s="469" t="s">
        <v>26</v>
      </c>
      <c r="L3" s="470"/>
      <c r="M3" s="19" t="str">
        <f>'Jardim 1A '!D11</f>
        <v>4a 1m</v>
      </c>
    </row>
    <row r="4" spans="1:13" ht="14.25" customHeight="1">
      <c r="A4" s="20" t="s">
        <v>3</v>
      </c>
      <c r="B4" s="23">
        <f>'Jardim 1A '!E4</f>
        <v>18.7</v>
      </c>
      <c r="C4" s="27" t="str">
        <f>'Jardim 1A '!I4</f>
        <v>75-85</v>
      </c>
      <c r="D4" s="471"/>
      <c r="E4" s="472"/>
      <c r="F4" s="473"/>
      <c r="H4" s="20" t="s">
        <v>3</v>
      </c>
      <c r="I4" s="23">
        <f>'Jardim 1A '!E11</f>
        <v>17.899999999999999</v>
      </c>
      <c r="J4" s="27" t="str">
        <f>'Jardim 1A '!I11</f>
        <v>50-75</v>
      </c>
      <c r="K4" s="483"/>
      <c r="L4" s="472"/>
      <c r="M4" s="473"/>
    </row>
    <row r="5" spans="1:13" ht="14.25" customHeight="1">
      <c r="A5" s="20" t="s">
        <v>27</v>
      </c>
      <c r="B5" s="21">
        <f>'Jardim 1A '!F4</f>
        <v>1.1100000000000001</v>
      </c>
      <c r="C5" s="27" t="str">
        <f>'Jardim 1A '!J4</f>
        <v>95-97</v>
      </c>
      <c r="D5" s="474"/>
      <c r="E5" s="475"/>
      <c r="F5" s="476"/>
      <c r="H5" s="20" t="s">
        <v>27</v>
      </c>
      <c r="I5" s="21">
        <f>'Jardim 1A '!F11</f>
        <v>1.1000000000000001</v>
      </c>
      <c r="J5" s="23" t="str">
        <f>'Jardim 1A '!J11</f>
        <v>85-95</v>
      </c>
      <c r="K5" s="474"/>
      <c r="L5" s="475"/>
      <c r="M5" s="476"/>
    </row>
    <row r="6" spans="1:13" ht="14.25" customHeight="1">
      <c r="A6" s="20" t="s">
        <v>106</v>
      </c>
      <c r="B6" s="21">
        <f>'Jardim 1A '!G4</f>
        <v>15.177339501663823</v>
      </c>
      <c r="C6" s="53" t="str">
        <f>'Jardim 1A '!H4</f>
        <v>25-50</v>
      </c>
      <c r="D6" s="477"/>
      <c r="E6" s="478"/>
      <c r="F6" s="479"/>
      <c r="H6" s="20" t="s">
        <v>107</v>
      </c>
      <c r="I6" s="21">
        <f>'Jardim 1A '!G11</f>
        <v>14.793388429752063</v>
      </c>
      <c r="J6" s="21" t="str">
        <f>'Jardim 1A '!H11</f>
        <v>25-50</v>
      </c>
      <c r="K6" s="477"/>
      <c r="L6" s="478"/>
      <c r="M6" s="479"/>
    </row>
    <row r="7" spans="1:13" ht="28.8">
      <c r="A7" s="24" t="s">
        <v>30</v>
      </c>
      <c r="B7" s="480" t="str">
        <f>'Jardim 1A '!K4</f>
        <v>ADEQUADO</v>
      </c>
      <c r="C7" s="481"/>
      <c r="D7" s="481"/>
      <c r="E7" s="481"/>
      <c r="F7" s="482"/>
      <c r="H7" s="24" t="s">
        <v>30</v>
      </c>
      <c r="I7" s="480" t="str">
        <f>'Jardim 1A '!K11</f>
        <v>ADEQUADO</v>
      </c>
      <c r="J7" s="481"/>
      <c r="K7" s="481"/>
      <c r="L7" s="481"/>
      <c r="M7" s="482"/>
    </row>
    <row r="8" spans="1:13" ht="7.5" customHeight="1" thickBot="1"/>
    <row r="9" spans="1:13" ht="14.25" customHeight="1">
      <c r="A9" s="13" t="s">
        <v>21</v>
      </c>
      <c r="B9" s="487" t="str">
        <f>'Jardim 1A '!A5</f>
        <v>Beatriz Castilla Pagani</v>
      </c>
      <c r="C9" s="485"/>
      <c r="D9" s="486"/>
      <c r="E9" s="14" t="s">
        <v>22</v>
      </c>
      <c r="F9" s="15">
        <f>'Jardim 1A '!B5</f>
        <v>44179</v>
      </c>
      <c r="H9" s="13" t="s">
        <v>21</v>
      </c>
      <c r="I9" s="487">
        <f>'Jardim 1A '!A12</f>
        <v>0</v>
      </c>
      <c r="J9" s="485"/>
      <c r="K9" s="486"/>
      <c r="L9" s="14" t="s">
        <v>22</v>
      </c>
      <c r="M9" s="15">
        <f>'Jardim 1A '!B12</f>
        <v>0</v>
      </c>
    </row>
    <row r="10" spans="1:13" ht="14.25" customHeight="1">
      <c r="A10" s="466" t="s">
        <v>23</v>
      </c>
      <c r="B10" s="467"/>
      <c r="C10" s="467"/>
      <c r="D10" s="467"/>
      <c r="E10" s="467"/>
      <c r="F10" s="468"/>
      <c r="H10" s="466" t="s">
        <v>23</v>
      </c>
      <c r="I10" s="467"/>
      <c r="J10" s="467"/>
      <c r="K10" s="467"/>
      <c r="L10" s="467"/>
      <c r="M10" s="468"/>
    </row>
    <row r="11" spans="1:13" ht="14.25" customHeight="1">
      <c r="A11" s="16" t="s">
        <v>24</v>
      </c>
      <c r="B11" s="17">
        <f>'Jardim 1A '!C5</f>
        <v>45729</v>
      </c>
      <c r="C11" s="18" t="s">
        <v>25</v>
      </c>
      <c r="D11" s="469" t="s">
        <v>26</v>
      </c>
      <c r="E11" s="470"/>
      <c r="F11" s="19" t="str">
        <f>'Jardim 1A '!D5</f>
        <v>4a 3m</v>
      </c>
      <c r="H11" s="16" t="s">
        <v>24</v>
      </c>
      <c r="I11" s="17">
        <f>'Jardim 1A '!C12</f>
        <v>0</v>
      </c>
      <c r="J11" s="18" t="s">
        <v>25</v>
      </c>
      <c r="K11" s="469" t="s">
        <v>26</v>
      </c>
      <c r="L11" s="470"/>
      <c r="M11" s="19">
        <f>'Jardim 1A '!D12</f>
        <v>0</v>
      </c>
    </row>
    <row r="12" spans="1:13" ht="14.25" customHeight="1">
      <c r="A12" s="20" t="s">
        <v>3</v>
      </c>
      <c r="B12" s="23">
        <f>'Jardim 1A '!E5</f>
        <v>16.600000000000001</v>
      </c>
      <c r="C12" s="27">
        <f>'Jardim 1A '!I5</f>
        <v>50</v>
      </c>
      <c r="D12" s="471"/>
      <c r="E12" s="472"/>
      <c r="F12" s="473"/>
      <c r="H12" s="20" t="s">
        <v>3</v>
      </c>
      <c r="I12" s="23">
        <f>'Jardim 1A '!E12</f>
        <v>0</v>
      </c>
      <c r="J12" s="27">
        <f>'Jardim 1A '!I12</f>
        <v>0</v>
      </c>
      <c r="K12" s="483"/>
      <c r="L12" s="472"/>
      <c r="M12" s="473"/>
    </row>
    <row r="13" spans="1:13" ht="14.25" customHeight="1">
      <c r="A13" s="20" t="s">
        <v>27</v>
      </c>
      <c r="B13" s="21">
        <f>'Jardim 1A '!F5</f>
        <v>1.01</v>
      </c>
      <c r="C13" s="27" t="str">
        <f>'Jardim 1A '!J5</f>
        <v>15-25</v>
      </c>
      <c r="D13" s="474"/>
      <c r="E13" s="475"/>
      <c r="F13" s="476"/>
      <c r="H13" s="20" t="s">
        <v>27</v>
      </c>
      <c r="I13" s="21">
        <f>'Jardim 1A '!F12</f>
        <v>0</v>
      </c>
      <c r="J13" s="23">
        <f>'Jardim 1A '!J12</f>
        <v>0</v>
      </c>
      <c r="K13" s="474"/>
      <c r="L13" s="475"/>
      <c r="M13" s="476"/>
    </row>
    <row r="14" spans="1:13" ht="14.25" customHeight="1">
      <c r="A14" s="20" t="s">
        <v>28</v>
      </c>
      <c r="B14" s="21">
        <f>'Jardim 1A '!G5</f>
        <v>16.272914420154887</v>
      </c>
      <c r="C14" s="53">
        <f>'Jardim 1A '!H5</f>
        <v>75</v>
      </c>
      <c r="D14" s="477"/>
      <c r="E14" s="478"/>
      <c r="F14" s="479"/>
      <c r="H14" s="20" t="s">
        <v>28</v>
      </c>
      <c r="I14" s="21">
        <f>'Jardim 1A '!G12</f>
        <v>0</v>
      </c>
      <c r="J14" s="21">
        <f>'Jardim 1A '!H12</f>
        <v>0</v>
      </c>
      <c r="K14" s="477"/>
      <c r="L14" s="478"/>
      <c r="M14" s="479"/>
    </row>
    <row r="15" spans="1:13" ht="29.4" thickBot="1">
      <c r="A15" s="24" t="s">
        <v>30</v>
      </c>
      <c r="B15" s="480" t="str">
        <f>'Jardim 1A '!K5</f>
        <v>ADEQUADO</v>
      </c>
      <c r="C15" s="481"/>
      <c r="D15" s="481"/>
      <c r="E15" s="481"/>
      <c r="F15" s="482"/>
      <c r="H15" s="24" t="s">
        <v>30</v>
      </c>
      <c r="I15" s="480">
        <f>'Jardim 1A '!K12</f>
        <v>0</v>
      </c>
      <c r="J15" s="481"/>
      <c r="K15" s="481"/>
      <c r="L15" s="481"/>
      <c r="M15" s="482"/>
    </row>
    <row r="16" spans="1:13" ht="6" customHeight="1" thickBot="1"/>
    <row r="17" spans="1:13" ht="14.25" customHeight="1">
      <c r="A17" s="13" t="s">
        <v>21</v>
      </c>
      <c r="B17" s="487" t="str">
        <f>'Jardim 1A '!A6</f>
        <v>Bruno Simm Benedetti</v>
      </c>
      <c r="C17" s="485"/>
      <c r="D17" s="486"/>
      <c r="E17" s="14" t="s">
        <v>22</v>
      </c>
      <c r="F17" s="15">
        <f>'Jardim 1A '!B6</f>
        <v>44117</v>
      </c>
      <c r="H17" s="13" t="s">
        <v>21</v>
      </c>
      <c r="I17" s="487">
        <f>'Jardim 1A '!A13</f>
        <v>0</v>
      </c>
      <c r="J17" s="485"/>
      <c r="K17" s="486"/>
      <c r="L17" s="14" t="s">
        <v>22</v>
      </c>
      <c r="M17" s="15">
        <f>'Jardim 1A '!B13</f>
        <v>0</v>
      </c>
    </row>
    <row r="18" spans="1:13" ht="14.25" customHeight="1">
      <c r="A18" s="466" t="s">
        <v>23</v>
      </c>
      <c r="B18" s="467"/>
      <c r="C18" s="467"/>
      <c r="D18" s="467"/>
      <c r="E18" s="467"/>
      <c r="F18" s="468"/>
      <c r="H18" s="466" t="s">
        <v>23</v>
      </c>
      <c r="I18" s="467"/>
      <c r="J18" s="467"/>
      <c r="K18" s="467"/>
      <c r="L18" s="467"/>
      <c r="M18" s="468"/>
    </row>
    <row r="19" spans="1:13" ht="14.25" customHeight="1">
      <c r="A19" s="16" t="s">
        <v>24</v>
      </c>
      <c r="B19" s="17">
        <f>'Jardim 1A '!C6</f>
        <v>45729</v>
      </c>
      <c r="C19" s="18" t="s">
        <v>25</v>
      </c>
      <c r="D19" s="469" t="s">
        <v>26</v>
      </c>
      <c r="E19" s="470"/>
      <c r="F19" s="19" t="str">
        <f>'Jardim 1A '!D6</f>
        <v>4a 5m</v>
      </c>
      <c r="H19" s="16" t="s">
        <v>24</v>
      </c>
      <c r="I19" s="17">
        <f>'Jardim 1A '!C13</f>
        <v>0</v>
      </c>
      <c r="J19" s="18" t="s">
        <v>25</v>
      </c>
      <c r="K19" s="469" t="s">
        <v>26</v>
      </c>
      <c r="L19" s="470"/>
      <c r="M19" s="19">
        <f>'Jardim 1A '!D13</f>
        <v>0</v>
      </c>
    </row>
    <row r="20" spans="1:13" ht="14.25" customHeight="1">
      <c r="A20" s="20" t="s">
        <v>3</v>
      </c>
      <c r="B20" s="23">
        <f>'Jardim 1A '!E6</f>
        <v>15.9</v>
      </c>
      <c r="C20" s="27" t="str">
        <f>'Jardim 1A '!I6</f>
        <v>25-50</v>
      </c>
      <c r="D20" s="471"/>
      <c r="E20" s="472"/>
      <c r="F20" s="473"/>
      <c r="H20" s="20" t="s">
        <v>3</v>
      </c>
      <c r="I20" s="23">
        <f>'Jardim 1A '!E13</f>
        <v>0</v>
      </c>
      <c r="J20" s="27">
        <f>'Jardim 1A '!I13</f>
        <v>0</v>
      </c>
      <c r="K20" s="483"/>
      <c r="L20" s="472"/>
      <c r="M20" s="473"/>
    </row>
    <row r="21" spans="1:13" ht="14.25" customHeight="1">
      <c r="A21" s="20" t="s">
        <v>27</v>
      </c>
      <c r="B21" s="21">
        <f>'Jardim 1A '!F6</f>
        <v>0.99</v>
      </c>
      <c r="C21" s="27" t="str">
        <f>'Jardim 1A '!J6</f>
        <v>5-15.</v>
      </c>
      <c r="D21" s="474"/>
      <c r="E21" s="475"/>
      <c r="F21" s="476"/>
      <c r="H21" s="20" t="s">
        <v>27</v>
      </c>
      <c r="I21" s="21">
        <f>'Jardim 1A '!F13</f>
        <v>0</v>
      </c>
      <c r="J21" s="23">
        <f>'Jardim 1A '!J13</f>
        <v>0</v>
      </c>
      <c r="K21" s="474"/>
      <c r="L21" s="475"/>
      <c r="M21" s="476"/>
    </row>
    <row r="22" spans="1:13" ht="14.25" customHeight="1">
      <c r="A22" s="20" t="s">
        <v>28</v>
      </c>
      <c r="B22" s="21">
        <f>'Jardim 1A '!G6</f>
        <v>16.222834404652588</v>
      </c>
      <c r="C22" s="53">
        <f>'Jardim 1A '!H6</f>
        <v>75</v>
      </c>
      <c r="D22" s="477"/>
      <c r="E22" s="478"/>
      <c r="F22" s="479"/>
      <c r="H22" s="20" t="s">
        <v>28</v>
      </c>
      <c r="I22" s="21">
        <f>'Jardim 1A '!G13</f>
        <v>0</v>
      </c>
      <c r="J22" s="21">
        <f>'Jardim 1A '!H13</f>
        <v>0</v>
      </c>
      <c r="K22" s="477"/>
      <c r="L22" s="478"/>
      <c r="M22" s="479"/>
    </row>
    <row r="23" spans="1:13" ht="29.4" thickBot="1">
      <c r="A23" s="24" t="s">
        <v>30</v>
      </c>
      <c r="B23" s="480" t="str">
        <f>'Jardim 1A '!K6</f>
        <v>ADEQUADO</v>
      </c>
      <c r="C23" s="481"/>
      <c r="D23" s="481"/>
      <c r="E23" s="481"/>
      <c r="F23" s="482"/>
      <c r="H23" s="24" t="s">
        <v>30</v>
      </c>
      <c r="I23" s="480">
        <f>'Jardim 1A '!K13</f>
        <v>0</v>
      </c>
      <c r="J23" s="481"/>
      <c r="K23" s="481"/>
      <c r="L23" s="481"/>
      <c r="M23" s="482"/>
    </row>
    <row r="24" spans="1:13" ht="8.25" customHeight="1" thickBot="1"/>
    <row r="25" spans="1:13" ht="14.25" customHeight="1">
      <c r="A25" s="13" t="s">
        <v>21</v>
      </c>
      <c r="B25" s="487" t="str">
        <f>'Jardim 1A '!A7</f>
        <v>Fernanda Nishino</v>
      </c>
      <c r="C25" s="485"/>
      <c r="D25" s="486"/>
      <c r="E25" s="14" t="s">
        <v>22</v>
      </c>
      <c r="F25" s="15">
        <f>'Jardim 1A '!B7</f>
        <v>44279</v>
      </c>
      <c r="H25" s="13" t="s">
        <v>21</v>
      </c>
      <c r="I25" s="487" t="e">
        <f>#REF!</f>
        <v>#REF!</v>
      </c>
      <c r="J25" s="485"/>
      <c r="K25" s="486"/>
      <c r="L25" s="14" t="s">
        <v>22</v>
      </c>
      <c r="M25" s="15" t="e">
        <f>#REF!</f>
        <v>#REF!</v>
      </c>
    </row>
    <row r="26" spans="1:13" ht="14.25" customHeight="1">
      <c r="A26" s="466" t="s">
        <v>23</v>
      </c>
      <c r="B26" s="467"/>
      <c r="C26" s="467"/>
      <c r="D26" s="467"/>
      <c r="E26" s="467"/>
      <c r="F26" s="468"/>
      <c r="H26" s="466" t="s">
        <v>23</v>
      </c>
      <c r="I26" s="467"/>
      <c r="J26" s="467"/>
      <c r="K26" s="467"/>
      <c r="L26" s="467"/>
      <c r="M26" s="468"/>
    </row>
    <row r="27" spans="1:13" ht="14.25" customHeight="1">
      <c r="A27" s="16" t="s">
        <v>24</v>
      </c>
      <c r="B27" s="17">
        <f>'Jardim 1A '!C7</f>
        <v>45729</v>
      </c>
      <c r="C27" s="18" t="s">
        <v>25</v>
      </c>
      <c r="D27" s="469" t="s">
        <v>26</v>
      </c>
      <c r="E27" s="470"/>
      <c r="F27" s="19" t="str">
        <f>'Jardim 1A '!D7</f>
        <v>3a 11m</v>
      </c>
      <c r="H27" s="16" t="s">
        <v>24</v>
      </c>
      <c r="I27" s="17" t="e">
        <f>#REF!</f>
        <v>#REF!</v>
      </c>
      <c r="J27" s="18" t="s">
        <v>25</v>
      </c>
      <c r="K27" s="469" t="s">
        <v>26</v>
      </c>
      <c r="L27" s="470"/>
      <c r="M27" s="19">
        <f>'Jardim 1A '!D28</f>
        <v>0</v>
      </c>
    </row>
    <row r="28" spans="1:13" ht="14.25" customHeight="1">
      <c r="A28" s="20" t="s">
        <v>3</v>
      </c>
      <c r="B28" s="23">
        <f>'Jardim 1A '!E7</f>
        <v>14.6</v>
      </c>
      <c r="C28" s="27" t="str">
        <f>'Jardim 1A '!I7</f>
        <v>25-50</v>
      </c>
      <c r="D28" s="471"/>
      <c r="E28" s="472"/>
      <c r="F28" s="473"/>
      <c r="H28" s="20" t="s">
        <v>3</v>
      </c>
      <c r="I28" s="23" t="e">
        <f>#REF!</f>
        <v>#REF!</v>
      </c>
      <c r="J28" s="27" t="e">
        <f>#REF!</f>
        <v>#REF!</v>
      </c>
      <c r="K28" s="483"/>
      <c r="L28" s="472"/>
      <c r="M28" s="473"/>
    </row>
    <row r="29" spans="1:13" ht="14.25" customHeight="1">
      <c r="A29" s="20" t="s">
        <v>27</v>
      </c>
      <c r="B29" s="21">
        <f>'Jardim 1A '!F7</f>
        <v>0.98</v>
      </c>
      <c r="C29" s="27" t="str">
        <f>'Jardim 1A '!J7</f>
        <v>15-25</v>
      </c>
      <c r="D29" s="474"/>
      <c r="E29" s="475"/>
      <c r="F29" s="476"/>
      <c r="H29" s="20" t="s">
        <v>27</v>
      </c>
      <c r="I29" s="23" t="e">
        <f>#REF!</f>
        <v>#REF!</v>
      </c>
      <c r="J29" s="26" t="e">
        <f>#REF!</f>
        <v>#REF!</v>
      </c>
      <c r="K29" s="474"/>
      <c r="L29" s="475"/>
      <c r="M29" s="476"/>
    </row>
    <row r="30" spans="1:13" ht="14.25" customHeight="1">
      <c r="A30" s="20" t="s">
        <v>28</v>
      </c>
      <c r="B30" s="21">
        <f>'Jardim 1A '!G7</f>
        <v>15.201999167013746</v>
      </c>
      <c r="C30" s="53" t="str">
        <f>'Jardim 1A '!H7</f>
        <v>25-50</v>
      </c>
      <c r="D30" s="477"/>
      <c r="E30" s="478"/>
      <c r="F30" s="479"/>
      <c r="H30" s="20" t="s">
        <v>108</v>
      </c>
      <c r="I30" s="21" t="e">
        <f>#REF!</f>
        <v>#REF!</v>
      </c>
      <c r="J30" s="23" t="e">
        <f>#REF!</f>
        <v>#REF!</v>
      </c>
      <c r="K30" s="477"/>
      <c r="L30" s="478"/>
      <c r="M30" s="479"/>
    </row>
    <row r="31" spans="1:13" ht="28.8">
      <c r="A31" s="24" t="s">
        <v>30</v>
      </c>
      <c r="B31" s="480" t="str">
        <f>'Jardim 1A '!K7</f>
        <v>ADEQUADO</v>
      </c>
      <c r="C31" s="481"/>
      <c r="D31" s="481"/>
      <c r="E31" s="481"/>
      <c r="F31" s="482"/>
      <c r="H31" s="24" t="s">
        <v>30</v>
      </c>
      <c r="I31" s="480" t="e">
        <f>#REF!</f>
        <v>#REF!</v>
      </c>
      <c r="J31" s="481"/>
      <c r="K31" s="481"/>
      <c r="L31" s="481"/>
      <c r="M31" s="482"/>
    </row>
    <row r="32" spans="1:13" ht="14.25" customHeight="1"/>
    <row r="33" spans="1:13" ht="14.25" customHeight="1">
      <c r="A33" s="13" t="s">
        <v>21</v>
      </c>
      <c r="B33" s="487" t="str">
        <f>'Jardim 1A '!A8</f>
        <v>Luiz Henrique S.Rodrigues</v>
      </c>
      <c r="C33" s="485"/>
      <c r="D33" s="486"/>
      <c r="E33" s="14" t="s">
        <v>22</v>
      </c>
      <c r="F33" s="15">
        <f>'Jardim 1A '!B8</f>
        <v>44031</v>
      </c>
      <c r="H33" s="32"/>
      <c r="I33" s="494"/>
      <c r="J33" s="475"/>
      <c r="K33" s="475"/>
      <c r="L33" s="32"/>
      <c r="M33" s="33"/>
    </row>
    <row r="34" spans="1:13" ht="14.25" customHeight="1">
      <c r="A34" s="466" t="s">
        <v>23</v>
      </c>
      <c r="B34" s="467"/>
      <c r="C34" s="467"/>
      <c r="D34" s="467"/>
      <c r="E34" s="467"/>
      <c r="F34" s="468"/>
      <c r="H34" s="495"/>
      <c r="I34" s="475"/>
      <c r="J34" s="475"/>
      <c r="K34" s="475"/>
      <c r="L34" s="475"/>
      <c r="M34" s="475"/>
    </row>
    <row r="35" spans="1:13" ht="14.25" customHeight="1">
      <c r="A35" s="16" t="s">
        <v>24</v>
      </c>
      <c r="B35" s="17">
        <f>'Jardim 1A '!C8</f>
        <v>45729</v>
      </c>
      <c r="C35" s="18" t="s">
        <v>25</v>
      </c>
      <c r="D35" s="469" t="s">
        <v>26</v>
      </c>
      <c r="E35" s="470"/>
      <c r="F35" s="19" t="str">
        <f>'Jardim 1A '!D8</f>
        <v>4a 7m</v>
      </c>
      <c r="H35" s="35"/>
      <c r="I35" s="36"/>
      <c r="J35" s="37"/>
      <c r="K35" s="496"/>
      <c r="L35" s="475"/>
      <c r="M35" s="38"/>
    </row>
    <row r="36" spans="1:13" ht="14.25" customHeight="1">
      <c r="A36" s="20" t="s">
        <v>3</v>
      </c>
      <c r="B36" s="23">
        <f>'Jardim 1A '!E8</f>
        <v>16.2</v>
      </c>
      <c r="C36" s="27" t="str">
        <f>'Jardim 1A '!I8</f>
        <v>25-50</v>
      </c>
      <c r="D36" s="471"/>
      <c r="E36" s="472"/>
      <c r="F36" s="473"/>
      <c r="H36" s="39"/>
      <c r="I36" s="34"/>
      <c r="J36" s="34"/>
      <c r="K36" s="495"/>
      <c r="L36" s="475"/>
      <c r="M36" s="475"/>
    </row>
    <row r="37" spans="1:13" ht="14.25" customHeight="1">
      <c r="A37" s="20" t="s">
        <v>27</v>
      </c>
      <c r="B37" s="21">
        <f>'Jardim 1A '!F8</f>
        <v>1.03</v>
      </c>
      <c r="C37" s="27" t="str">
        <f>'Jardim 1A '!J8</f>
        <v>15-25</v>
      </c>
      <c r="D37" s="474"/>
      <c r="E37" s="475"/>
      <c r="F37" s="476"/>
      <c r="H37" s="39"/>
      <c r="I37" s="34"/>
      <c r="J37" s="34"/>
      <c r="K37" s="475"/>
      <c r="L37" s="475"/>
      <c r="M37" s="475"/>
    </row>
    <row r="38" spans="1:13" ht="14.25" customHeight="1">
      <c r="A38" s="20" t="s">
        <v>28</v>
      </c>
      <c r="B38" s="21">
        <f>'Jardim 1A '!G8</f>
        <v>15.27005372796682</v>
      </c>
      <c r="C38" s="53" t="str">
        <f>'Jardim 1A '!H8</f>
        <v>50-75</v>
      </c>
      <c r="D38" s="477"/>
      <c r="E38" s="478"/>
      <c r="F38" s="479"/>
      <c r="H38" s="39"/>
      <c r="I38" s="40"/>
      <c r="J38" s="34"/>
      <c r="K38" s="475"/>
      <c r="L38" s="475"/>
      <c r="M38" s="475"/>
    </row>
    <row r="39" spans="1:13" ht="14.25" customHeight="1">
      <c r="A39" s="24" t="s">
        <v>30</v>
      </c>
      <c r="B39" s="480" t="str">
        <f>'Jardim 1A '!K8</f>
        <v>ADEQUADO</v>
      </c>
      <c r="C39" s="481"/>
      <c r="D39" s="481"/>
      <c r="E39" s="481"/>
      <c r="F39" s="482"/>
      <c r="H39" s="41"/>
      <c r="I39" s="493"/>
      <c r="J39" s="475"/>
      <c r="K39" s="475"/>
      <c r="L39" s="475"/>
      <c r="M39" s="475"/>
    </row>
    <row r="40" spans="1:13" ht="14.25" customHeight="1" thickBot="1"/>
    <row r="41" spans="1:13" ht="14.25" customHeight="1">
      <c r="A41" s="13" t="s">
        <v>21</v>
      </c>
      <c r="B41" s="487" t="str">
        <f>'Jardim 1A '!A9</f>
        <v>Matteo Oyama Buccini</v>
      </c>
      <c r="C41" s="485"/>
      <c r="D41" s="486"/>
      <c r="E41" s="14" t="s">
        <v>22</v>
      </c>
      <c r="F41" s="15">
        <f>'Jardim 1A '!B9</f>
        <v>44053</v>
      </c>
    </row>
    <row r="42" spans="1:13" ht="14.25" customHeight="1">
      <c r="A42" s="466" t="s">
        <v>23</v>
      </c>
      <c r="B42" s="467"/>
      <c r="C42" s="467"/>
      <c r="D42" s="467"/>
      <c r="E42" s="467"/>
      <c r="F42" s="468"/>
    </row>
    <row r="43" spans="1:13" ht="14.25" customHeight="1">
      <c r="A43" s="16" t="s">
        <v>24</v>
      </c>
      <c r="B43" s="17">
        <f>'Jardim 1A '!C9</f>
        <v>45729</v>
      </c>
      <c r="C43" s="18" t="s">
        <v>25</v>
      </c>
      <c r="D43" s="469" t="s">
        <v>26</v>
      </c>
      <c r="E43" s="470"/>
      <c r="F43" s="19" t="str">
        <f>'Jardim 1A '!D9</f>
        <v>4a 7m</v>
      </c>
    </row>
    <row r="44" spans="1:13" ht="14.25" customHeight="1">
      <c r="A44" s="20" t="s">
        <v>3</v>
      </c>
      <c r="B44" s="23">
        <f>'Jardim 1A '!E9</f>
        <v>16.399999999999999</v>
      </c>
      <c r="C44" s="27" t="str">
        <f>'Jardim 1A '!I9</f>
        <v>25-50</v>
      </c>
      <c r="D44" s="471"/>
      <c r="E44" s="472"/>
      <c r="F44" s="473"/>
    </row>
    <row r="45" spans="1:13" ht="14.25" customHeight="1">
      <c r="A45" s="20" t="s">
        <v>27</v>
      </c>
      <c r="B45" s="21">
        <f>'Jardim 1A '!F9</f>
        <v>1.04</v>
      </c>
      <c r="C45" s="27" t="str">
        <f>'Jardim 1A '!J9</f>
        <v>15-25</v>
      </c>
      <c r="D45" s="474"/>
      <c r="E45" s="475"/>
      <c r="F45" s="476"/>
    </row>
    <row r="46" spans="1:13" ht="14.25" customHeight="1">
      <c r="A46" s="20" t="s">
        <v>28</v>
      </c>
      <c r="B46" s="21">
        <f>'Jardim 1A '!G9</f>
        <v>15.162721893491121</v>
      </c>
      <c r="C46" s="53">
        <f>'Jardim 1A '!H9</f>
        <v>50</v>
      </c>
      <c r="D46" s="477"/>
      <c r="E46" s="478"/>
      <c r="F46" s="479"/>
    </row>
    <row r="47" spans="1:13" ht="14.25" customHeight="1" thickBot="1">
      <c r="A47" s="24" t="s">
        <v>30</v>
      </c>
      <c r="B47" s="480" t="str">
        <f>'Jardim 1A '!K9</f>
        <v>ADEQUADO</v>
      </c>
      <c r="C47" s="481"/>
      <c r="D47" s="481"/>
      <c r="E47" s="481"/>
      <c r="F47" s="482"/>
    </row>
    <row r="48" spans="1:13" ht="14.25" customHeight="1" thickBot="1"/>
    <row r="49" spans="1:6" ht="14.25" customHeight="1">
      <c r="A49" s="13" t="s">
        <v>21</v>
      </c>
      <c r="B49" s="487" t="str">
        <f>'Jardim 1A '!A10</f>
        <v>Theo Takamori Chirico</v>
      </c>
      <c r="C49" s="485"/>
      <c r="D49" s="486"/>
      <c r="E49" s="14" t="s">
        <v>22</v>
      </c>
      <c r="F49" s="15">
        <f>'Jardim 1A '!B10</f>
        <v>44096</v>
      </c>
    </row>
    <row r="50" spans="1:6" ht="14.25" customHeight="1">
      <c r="A50" s="466" t="s">
        <v>23</v>
      </c>
      <c r="B50" s="467"/>
      <c r="C50" s="467"/>
      <c r="D50" s="467"/>
      <c r="E50" s="467"/>
      <c r="F50" s="468"/>
    </row>
    <row r="51" spans="1:6" ht="14.25" customHeight="1">
      <c r="A51" s="16" t="s">
        <v>24</v>
      </c>
      <c r="B51" s="17">
        <f>'Jardim 1A '!C10</f>
        <v>45729</v>
      </c>
      <c r="C51" s="18" t="s">
        <v>25</v>
      </c>
      <c r="D51" s="469" t="s">
        <v>26</v>
      </c>
      <c r="E51" s="470"/>
      <c r="F51" s="19" t="str">
        <f>'Jardim 1A '!D10</f>
        <v>4a 5m</v>
      </c>
    </row>
    <row r="52" spans="1:6" ht="14.25" customHeight="1">
      <c r="A52" s="20" t="s">
        <v>3</v>
      </c>
      <c r="B52" s="23">
        <f>'Jardim 1A '!E10</f>
        <v>15.9</v>
      </c>
      <c r="C52" s="27" t="str">
        <f>'Jardim 1A '!I10</f>
        <v>25-50</v>
      </c>
      <c r="D52" s="471"/>
      <c r="E52" s="472"/>
      <c r="F52" s="473"/>
    </row>
    <row r="53" spans="1:6" ht="14.25" customHeight="1">
      <c r="A53" s="20" t="s">
        <v>27</v>
      </c>
      <c r="B53" s="21">
        <f>'Jardim 1A '!F10</f>
        <v>1.02</v>
      </c>
      <c r="C53" s="27" t="str">
        <f>'Jardim 1A '!J10</f>
        <v>15-25</v>
      </c>
      <c r="D53" s="474"/>
      <c r="E53" s="475"/>
      <c r="F53" s="476"/>
    </row>
    <row r="54" spans="1:6" ht="14.25" customHeight="1">
      <c r="A54" s="20" t="s">
        <v>28</v>
      </c>
      <c r="B54" s="21">
        <f>'Jardim 1A '!G10</f>
        <v>15.282583621683969</v>
      </c>
      <c r="C54" s="53">
        <f>'Jardim 1A '!H10</f>
        <v>50</v>
      </c>
      <c r="D54" s="477"/>
      <c r="E54" s="478"/>
      <c r="F54" s="479"/>
    </row>
    <row r="55" spans="1:6" ht="14.25" customHeight="1" thickBot="1">
      <c r="A55" s="24" t="s">
        <v>30</v>
      </c>
      <c r="B55" s="480" t="str">
        <f>'Jardim 1A '!K10</f>
        <v>ADEQUADO</v>
      </c>
      <c r="C55" s="481"/>
      <c r="D55" s="481"/>
      <c r="E55" s="481"/>
      <c r="F55" s="482"/>
    </row>
    <row r="56" spans="1:6" ht="14.25" customHeight="1"/>
    <row r="57" spans="1:6" ht="14.25" customHeight="1"/>
    <row r="58" spans="1:6" ht="14.25" customHeight="1"/>
    <row r="59" spans="1:6" ht="14.25" customHeight="1"/>
    <row r="60" spans="1:6" ht="14.25" customHeight="1"/>
    <row r="61" spans="1:6" ht="14.25" customHeight="1"/>
    <row r="62" spans="1:6" ht="14.25" customHeight="1"/>
    <row r="63" spans="1:6" ht="14.25" customHeight="1"/>
    <row r="64" spans="1:6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B1:D1"/>
    <mergeCell ref="I1:K1"/>
    <mergeCell ref="A2:F2"/>
    <mergeCell ref="H2:M2"/>
    <mergeCell ref="D3:E3"/>
    <mergeCell ref="K3:L3"/>
    <mergeCell ref="K4:M6"/>
    <mergeCell ref="D4:F6"/>
    <mergeCell ref="B7:F7"/>
    <mergeCell ref="B9:D9"/>
    <mergeCell ref="A10:F10"/>
    <mergeCell ref="D11:E11"/>
    <mergeCell ref="D12:F14"/>
    <mergeCell ref="B15:F15"/>
    <mergeCell ref="I7:M7"/>
    <mergeCell ref="I9:K9"/>
    <mergeCell ref="H10:M10"/>
    <mergeCell ref="K11:L11"/>
    <mergeCell ref="K12:M14"/>
    <mergeCell ref="I15:M15"/>
    <mergeCell ref="I17:K17"/>
    <mergeCell ref="D27:E27"/>
    <mergeCell ref="D28:F30"/>
    <mergeCell ref="B31:F31"/>
    <mergeCell ref="B33:D33"/>
    <mergeCell ref="K28:M30"/>
    <mergeCell ref="I31:M31"/>
    <mergeCell ref="I33:K33"/>
    <mergeCell ref="A34:F34"/>
    <mergeCell ref="D35:E35"/>
    <mergeCell ref="D36:F38"/>
    <mergeCell ref="B39:F39"/>
    <mergeCell ref="B17:D17"/>
    <mergeCell ref="A18:F18"/>
    <mergeCell ref="D19:E19"/>
    <mergeCell ref="D20:F22"/>
    <mergeCell ref="B23:F23"/>
    <mergeCell ref="B25:D25"/>
    <mergeCell ref="A26:F26"/>
    <mergeCell ref="H34:M34"/>
    <mergeCell ref="K35:L35"/>
    <mergeCell ref="K36:M38"/>
    <mergeCell ref="I39:M39"/>
    <mergeCell ref="H18:M18"/>
    <mergeCell ref="K19:L19"/>
    <mergeCell ref="K20:M22"/>
    <mergeCell ref="I23:M23"/>
    <mergeCell ref="I25:K25"/>
    <mergeCell ref="H26:M26"/>
    <mergeCell ref="K27:L27"/>
    <mergeCell ref="B41:D41"/>
    <mergeCell ref="A42:F42"/>
    <mergeCell ref="D43:E43"/>
    <mergeCell ref="D44:F46"/>
    <mergeCell ref="B47:F47"/>
    <mergeCell ref="B49:D49"/>
    <mergeCell ref="A50:F50"/>
    <mergeCell ref="D51:E51"/>
    <mergeCell ref="D52:F54"/>
    <mergeCell ref="B55:F55"/>
  </mergeCells>
  <pageMargins left="0.511811024" right="0.511811024" top="0.78740157499999996" bottom="0.78740157499999996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4B083"/>
  </sheetPr>
  <dimension ref="A1:Z1003"/>
  <sheetViews>
    <sheetView workbookViewId="0">
      <selection sqref="A1:K15"/>
    </sheetView>
  </sheetViews>
  <sheetFormatPr defaultColWidth="14.44140625" defaultRowHeight="15" customHeight="1"/>
  <cols>
    <col min="1" max="1" width="29.21875" customWidth="1"/>
    <col min="2" max="2" width="11" customWidth="1"/>
    <col min="3" max="3" width="10.33203125" customWidth="1"/>
    <col min="4" max="4" width="8" customWidth="1"/>
    <col min="5" max="5" width="7.21875" customWidth="1"/>
    <col min="6" max="6" width="8" customWidth="1"/>
    <col min="7" max="7" width="8.44140625" customWidth="1"/>
    <col min="8" max="8" width="7" customWidth="1"/>
    <col min="9" max="10" width="5.5546875" customWidth="1"/>
    <col min="11" max="11" width="19.6640625" customWidth="1"/>
    <col min="12" max="12" width="3.33203125" customWidth="1"/>
    <col min="13" max="13" width="12.5546875" customWidth="1"/>
    <col min="14" max="14" width="7.109375" customWidth="1"/>
    <col min="15" max="15" width="7.33203125" customWidth="1"/>
    <col min="16" max="26" width="9.109375" customWidth="1"/>
  </cols>
  <sheetData>
    <row r="1" spans="1:26" ht="14.25" customHeight="1">
      <c r="A1" s="523" t="s">
        <v>158</v>
      </c>
      <c r="B1" s="490"/>
      <c r="C1" s="490"/>
      <c r="D1" s="490"/>
      <c r="E1" s="490"/>
      <c r="F1" s="490"/>
      <c r="G1" s="490"/>
      <c r="H1" s="490"/>
      <c r="I1" s="490"/>
      <c r="J1" s="49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/>
      <c r="B2" s="3"/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8" customHeight="1">
      <c r="A3" s="133"/>
      <c r="B3" s="133" t="s">
        <v>0</v>
      </c>
      <c r="C3" s="182" t="s">
        <v>205</v>
      </c>
      <c r="D3" s="133" t="s">
        <v>2</v>
      </c>
      <c r="E3" s="133" t="s">
        <v>3</v>
      </c>
      <c r="F3" s="133" t="s">
        <v>4</v>
      </c>
      <c r="G3" s="133" t="s">
        <v>5</v>
      </c>
      <c r="H3" s="133" t="s">
        <v>6</v>
      </c>
      <c r="I3" s="133" t="s">
        <v>7</v>
      </c>
      <c r="J3" s="133" t="s">
        <v>8</v>
      </c>
      <c r="K3" s="133" t="s">
        <v>9</v>
      </c>
      <c r="L3" s="7"/>
      <c r="M3" s="8"/>
      <c r="N3" s="8" t="s">
        <v>10</v>
      </c>
      <c r="O3" s="8" t="s">
        <v>11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>
      <c r="A4" s="311" t="s">
        <v>92</v>
      </c>
      <c r="B4" s="371">
        <v>43953</v>
      </c>
      <c r="C4" s="220">
        <v>45729</v>
      </c>
      <c r="D4" s="313" t="s">
        <v>254</v>
      </c>
      <c r="E4" s="313">
        <v>23.4</v>
      </c>
      <c r="F4" s="313">
        <v>1.1599999999999999</v>
      </c>
      <c r="G4" s="215">
        <f t="shared" ref="G4:G15" si="0">E4/(F4*F4)</f>
        <v>17.39001189060642</v>
      </c>
      <c r="H4" s="217" t="s">
        <v>271</v>
      </c>
      <c r="I4" s="217" t="s">
        <v>277</v>
      </c>
      <c r="J4" s="217" t="s">
        <v>271</v>
      </c>
      <c r="K4" s="217" t="s">
        <v>288</v>
      </c>
      <c r="L4" s="45"/>
      <c r="M4" s="29" t="s">
        <v>12</v>
      </c>
      <c r="N4" s="8"/>
      <c r="O4" s="8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369" t="s">
        <v>206</v>
      </c>
      <c r="B5" s="370">
        <v>43988</v>
      </c>
      <c r="C5" s="209">
        <v>45729</v>
      </c>
      <c r="D5" s="309" t="s">
        <v>255</v>
      </c>
      <c r="E5" s="309">
        <v>16.899999999999999</v>
      </c>
      <c r="F5" s="309">
        <v>1.1200000000000001</v>
      </c>
      <c r="G5" s="75">
        <f t="shared" si="0"/>
        <v>13.472576530612242</v>
      </c>
      <c r="H5" s="126" t="s">
        <v>273</v>
      </c>
      <c r="I5" s="126" t="s">
        <v>274</v>
      </c>
      <c r="J5" s="126" t="s">
        <v>269</v>
      </c>
      <c r="K5" s="99" t="s">
        <v>290</v>
      </c>
      <c r="L5" s="45"/>
      <c r="M5" s="29" t="s">
        <v>13</v>
      </c>
      <c r="N5" s="8">
        <v>2</v>
      </c>
      <c r="O5" s="8">
        <v>6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436" t="s">
        <v>93</v>
      </c>
      <c r="B6" s="457">
        <v>44080</v>
      </c>
      <c r="C6" s="409"/>
      <c r="D6" s="439"/>
      <c r="E6" s="439"/>
      <c r="F6" s="439"/>
      <c r="G6" s="412" t="e">
        <f t="shared" si="0"/>
        <v>#DIV/0!</v>
      </c>
      <c r="H6" s="458"/>
      <c r="I6" s="458"/>
      <c r="J6" s="458"/>
      <c r="K6" s="458"/>
      <c r="L6" s="45"/>
      <c r="M6" s="29" t="s">
        <v>15</v>
      </c>
      <c r="N6" s="8">
        <v>1</v>
      </c>
      <c r="O6" s="8">
        <v>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307" t="s">
        <v>94</v>
      </c>
      <c r="B7" s="370">
        <v>44285</v>
      </c>
      <c r="C7" s="209">
        <v>45729</v>
      </c>
      <c r="D7" s="309" t="s">
        <v>246</v>
      </c>
      <c r="E7" s="309">
        <v>15.8</v>
      </c>
      <c r="F7" s="309">
        <v>1.03</v>
      </c>
      <c r="G7" s="75">
        <f t="shared" si="0"/>
        <v>14.893015364313321</v>
      </c>
      <c r="H7" s="126" t="s">
        <v>274</v>
      </c>
      <c r="I7" s="126" t="s">
        <v>274</v>
      </c>
      <c r="J7" s="126" t="s">
        <v>275</v>
      </c>
      <c r="K7" s="99" t="s">
        <v>290</v>
      </c>
      <c r="L7" s="45"/>
      <c r="M7" s="29" t="s">
        <v>17</v>
      </c>
      <c r="N7" s="8"/>
      <c r="O7" s="8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311" t="s">
        <v>95</v>
      </c>
      <c r="B8" s="371">
        <v>44019</v>
      </c>
      <c r="C8" s="220">
        <v>45729</v>
      </c>
      <c r="D8" s="313" t="s">
        <v>256</v>
      </c>
      <c r="E8" s="313">
        <v>18.3</v>
      </c>
      <c r="F8" s="313">
        <v>1.1499999999999999</v>
      </c>
      <c r="G8" s="384">
        <f t="shared" si="0"/>
        <v>13.837429111531193</v>
      </c>
      <c r="H8" s="226">
        <v>15</v>
      </c>
      <c r="I8" s="226" t="s">
        <v>275</v>
      </c>
      <c r="J8" s="226" t="s">
        <v>277</v>
      </c>
      <c r="K8" s="226" t="s">
        <v>290</v>
      </c>
      <c r="L8" s="45"/>
      <c r="M8" s="29" t="s">
        <v>18</v>
      </c>
      <c r="N8" s="8">
        <f>SUM(N5:N7)</f>
        <v>3</v>
      </c>
      <c r="O8" s="8">
        <f>SUM(O5:O7)</f>
        <v>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307" t="s">
        <v>96</v>
      </c>
      <c r="B9" s="370">
        <v>44256</v>
      </c>
      <c r="C9" s="209">
        <v>45729</v>
      </c>
      <c r="D9" s="309" t="s">
        <v>257</v>
      </c>
      <c r="E9" s="309">
        <v>17.8</v>
      </c>
      <c r="F9" s="309">
        <v>1.03</v>
      </c>
      <c r="G9" s="75">
        <f t="shared" si="0"/>
        <v>16.778207182580829</v>
      </c>
      <c r="H9" s="99" t="s">
        <v>271</v>
      </c>
      <c r="I9" s="99">
        <v>75</v>
      </c>
      <c r="J9" s="99" t="s">
        <v>274</v>
      </c>
      <c r="K9" s="99" t="s">
        <v>288</v>
      </c>
      <c r="L9" s="45"/>
      <c r="M9" s="58" t="s">
        <v>19</v>
      </c>
      <c r="N9" s="203"/>
      <c r="O9" s="204">
        <f>SUM(N8:O8)</f>
        <v>11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372" t="s">
        <v>207</v>
      </c>
      <c r="B10" s="371">
        <v>43936</v>
      </c>
      <c r="C10" s="220">
        <v>45729</v>
      </c>
      <c r="D10" s="313" t="s">
        <v>258</v>
      </c>
      <c r="E10" s="313">
        <v>18.5</v>
      </c>
      <c r="F10" s="313">
        <v>1.08</v>
      </c>
      <c r="G10" s="215">
        <f t="shared" si="0"/>
        <v>15.860768175582988</v>
      </c>
      <c r="H10" s="385" t="s">
        <v>275</v>
      </c>
      <c r="I10" s="385" t="s">
        <v>275</v>
      </c>
      <c r="J10" s="385" t="s">
        <v>274</v>
      </c>
      <c r="K10" s="226" t="s">
        <v>290</v>
      </c>
      <c r="L10" s="59"/>
      <c r="M10" s="60"/>
      <c r="N10" s="57"/>
      <c r="O10" s="57"/>
      <c r="P10" s="45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307" t="s">
        <v>208</v>
      </c>
      <c r="B11" s="370">
        <v>44144</v>
      </c>
      <c r="C11" s="209">
        <v>45729</v>
      </c>
      <c r="D11" s="309" t="s">
        <v>259</v>
      </c>
      <c r="E11" s="309">
        <v>15.8</v>
      </c>
      <c r="F11" s="309">
        <v>1.04</v>
      </c>
      <c r="G11" s="403">
        <f t="shared" si="0"/>
        <v>14.607988165680473</v>
      </c>
      <c r="H11" s="404" t="s">
        <v>274</v>
      </c>
      <c r="I11" s="404" t="s">
        <v>274</v>
      </c>
      <c r="J11" s="404" t="s">
        <v>274</v>
      </c>
      <c r="K11" s="405" t="s">
        <v>290</v>
      </c>
      <c r="L11" s="59"/>
      <c r="M11" s="61"/>
      <c r="N11" s="52"/>
      <c r="O11" s="52"/>
      <c r="P11" s="45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307" t="s">
        <v>98</v>
      </c>
      <c r="B12" s="370">
        <v>44023</v>
      </c>
      <c r="C12" s="209">
        <v>45729</v>
      </c>
      <c r="D12" s="309" t="s">
        <v>256</v>
      </c>
      <c r="E12" s="309">
        <v>15.1</v>
      </c>
      <c r="F12" s="309">
        <v>1.06</v>
      </c>
      <c r="G12" s="75">
        <f t="shared" si="0"/>
        <v>13.438946244215021</v>
      </c>
      <c r="H12" s="309" t="s">
        <v>273</v>
      </c>
      <c r="I12" s="309" t="s">
        <v>273</v>
      </c>
      <c r="J12" s="309" t="s">
        <v>274</v>
      </c>
      <c r="K12" s="309" t="s">
        <v>290</v>
      </c>
      <c r="L12" s="59"/>
      <c r="M12" s="62"/>
      <c r="N12" s="52"/>
      <c r="O12" s="52"/>
      <c r="P12" s="45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307" t="s">
        <v>209</v>
      </c>
      <c r="B13" s="370">
        <v>44256</v>
      </c>
      <c r="C13" s="209">
        <v>45729</v>
      </c>
      <c r="D13" s="309" t="s">
        <v>257</v>
      </c>
      <c r="E13" s="309">
        <v>18.8</v>
      </c>
      <c r="F13" s="309">
        <v>1.06</v>
      </c>
      <c r="G13" s="75">
        <f t="shared" si="0"/>
        <v>16.731933072267708</v>
      </c>
      <c r="H13" s="126">
        <v>85</v>
      </c>
      <c r="I13" s="126" t="s">
        <v>271</v>
      </c>
      <c r="J13" s="126" t="s">
        <v>275</v>
      </c>
      <c r="K13" s="99" t="s">
        <v>288</v>
      </c>
      <c r="L13" s="59"/>
      <c r="M13" s="62"/>
      <c r="N13" s="52"/>
      <c r="O13" s="52"/>
      <c r="P13" s="45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307" t="s">
        <v>99</v>
      </c>
      <c r="B14" s="370">
        <v>44097</v>
      </c>
      <c r="C14" s="209">
        <v>45729</v>
      </c>
      <c r="D14" s="309" t="s">
        <v>252</v>
      </c>
      <c r="E14" s="309">
        <v>14.6</v>
      </c>
      <c r="F14" s="309">
        <v>0.98</v>
      </c>
      <c r="G14" s="75">
        <f t="shared" si="0"/>
        <v>15.201999167013746</v>
      </c>
      <c r="H14" s="126" t="s">
        <v>274</v>
      </c>
      <c r="I14" s="126" t="s">
        <v>273</v>
      </c>
      <c r="J14" s="126" t="s">
        <v>285</v>
      </c>
      <c r="K14" s="99" t="s">
        <v>290</v>
      </c>
      <c r="L14" s="59"/>
      <c r="M14" s="51"/>
      <c r="N14" s="52"/>
      <c r="O14" s="52"/>
      <c r="P14" s="45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307" t="s">
        <v>100</v>
      </c>
      <c r="B15" s="370">
        <v>43969</v>
      </c>
      <c r="C15" s="209">
        <v>45729</v>
      </c>
      <c r="D15" s="309" t="s">
        <v>255</v>
      </c>
      <c r="E15" s="309">
        <v>15.8</v>
      </c>
      <c r="F15" s="309">
        <v>1.06</v>
      </c>
      <c r="G15" s="75">
        <f t="shared" si="0"/>
        <v>14.061943752224989</v>
      </c>
      <c r="H15" s="99" t="s">
        <v>272</v>
      </c>
      <c r="I15" s="99" t="s">
        <v>272</v>
      </c>
      <c r="J15" s="99" t="s">
        <v>274</v>
      </c>
      <c r="K15" s="99" t="s">
        <v>290</v>
      </c>
      <c r="L15" s="59"/>
      <c r="M15" s="51"/>
      <c r="N15" s="52"/>
      <c r="O15" s="52"/>
      <c r="P15" s="45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31"/>
      <c r="B16" s="131"/>
      <c r="C16" s="131"/>
      <c r="D16" s="269"/>
      <c r="E16" s="271"/>
      <c r="F16" s="271"/>
      <c r="G16" s="269"/>
      <c r="H16" s="270"/>
      <c r="I16" s="270"/>
      <c r="J16" s="270"/>
      <c r="K16" s="271"/>
      <c r="L16" s="59"/>
      <c r="M16" s="51"/>
      <c r="N16" s="52"/>
      <c r="O16" s="52"/>
      <c r="P16" s="45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6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1">
    <mergeCell ref="A1:J1"/>
  </mergeCells>
  <pageMargins left="0.511811024" right="0.511811024" top="0.78740157499999996" bottom="0.78740157499999996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7CAAC"/>
  </sheetPr>
  <dimension ref="A1:M1000"/>
  <sheetViews>
    <sheetView topLeftCell="A43" workbookViewId="0">
      <selection activeCell="H57" sqref="H57:M63"/>
    </sheetView>
  </sheetViews>
  <sheetFormatPr defaultColWidth="14.44140625" defaultRowHeight="15" customHeight="1"/>
  <cols>
    <col min="1" max="1" width="11.33203125" customWidth="1"/>
    <col min="2" max="2" width="10.6640625" customWidth="1"/>
    <col min="3" max="3" width="8.6640625" customWidth="1"/>
    <col min="4" max="4" width="6.5546875" customWidth="1"/>
    <col min="5" max="5" width="5.33203125" customWidth="1"/>
    <col min="6" max="6" width="10.6640625" customWidth="1"/>
    <col min="7" max="7" width="3.44140625" customWidth="1"/>
    <col min="8" max="8" width="11.33203125" customWidth="1"/>
    <col min="9" max="9" width="10.6640625" customWidth="1"/>
    <col min="10" max="11" width="8.6640625" customWidth="1"/>
    <col min="12" max="12" width="4.88671875" customWidth="1"/>
    <col min="13" max="13" width="10.77734375" bestFit="1" customWidth="1"/>
    <col min="14" max="26" width="8.6640625" customWidth="1"/>
  </cols>
  <sheetData>
    <row r="1" spans="1:13" ht="14.25" customHeight="1">
      <c r="A1" s="13" t="s">
        <v>21</v>
      </c>
      <c r="B1" s="487" t="str">
        <f>'Jardim 1B'!A4</f>
        <v>Giovanna Yumi Ferraz Fugita</v>
      </c>
      <c r="C1" s="485"/>
      <c r="D1" s="486"/>
      <c r="E1" s="14" t="s">
        <v>22</v>
      </c>
      <c r="F1" s="15">
        <f>'Jardim 1B'!B4</f>
        <v>43953</v>
      </c>
      <c r="H1" s="13" t="s">
        <v>21</v>
      </c>
      <c r="I1" s="487" t="str">
        <f>'Jardim 1B'!A11</f>
        <v>Roger Torres R. da Silva</v>
      </c>
      <c r="J1" s="485"/>
      <c r="K1" s="486"/>
      <c r="L1" s="14" t="s">
        <v>22</v>
      </c>
      <c r="M1" s="15">
        <f>'Jardim 1B'!B11</f>
        <v>44144</v>
      </c>
    </row>
    <row r="2" spans="1:13" ht="14.25" customHeight="1">
      <c r="A2" s="466" t="s">
        <v>23</v>
      </c>
      <c r="B2" s="467"/>
      <c r="C2" s="467"/>
      <c r="D2" s="467"/>
      <c r="E2" s="467"/>
      <c r="F2" s="468"/>
      <c r="H2" s="466" t="s">
        <v>23</v>
      </c>
      <c r="I2" s="467"/>
      <c r="J2" s="467"/>
      <c r="K2" s="467"/>
      <c r="L2" s="467"/>
      <c r="M2" s="468"/>
    </row>
    <row r="3" spans="1:13" ht="14.25" customHeight="1">
      <c r="A3" s="16" t="s">
        <v>24</v>
      </c>
      <c r="B3" s="17">
        <f>'Jardim 1B'!C4</f>
        <v>45729</v>
      </c>
      <c r="C3" s="18" t="s">
        <v>25</v>
      </c>
      <c r="D3" s="469" t="s">
        <v>26</v>
      </c>
      <c r="E3" s="470"/>
      <c r="F3" s="19" t="str">
        <f>'Jardim 1B'!D4</f>
        <v>4a 10m</v>
      </c>
      <c r="H3" s="16" t="s">
        <v>24</v>
      </c>
      <c r="I3" s="17">
        <f>'Jardim 1B'!C11</f>
        <v>45729</v>
      </c>
      <c r="J3" s="18" t="s">
        <v>25</v>
      </c>
      <c r="K3" s="469" t="s">
        <v>26</v>
      </c>
      <c r="L3" s="470"/>
      <c r="M3" s="19" t="str">
        <f>'Jardim 1B'!D11</f>
        <v>4a 4m</v>
      </c>
    </row>
    <row r="4" spans="1:13" ht="14.25" customHeight="1">
      <c r="A4" s="20" t="s">
        <v>3</v>
      </c>
      <c r="B4" s="23">
        <f>'Jardim 1B'!E4</f>
        <v>23.4</v>
      </c>
      <c r="C4" s="27" t="str">
        <f>'Jardim 1B'!I4</f>
        <v>95-97</v>
      </c>
      <c r="D4" s="471"/>
      <c r="E4" s="472"/>
      <c r="F4" s="473"/>
      <c r="H4" s="20" t="s">
        <v>3</v>
      </c>
      <c r="I4" s="23">
        <f>'Jardim 1B'!E11</f>
        <v>15.8</v>
      </c>
      <c r="J4" s="27" t="str">
        <f>'Jardim 1B'!I11</f>
        <v>25-50</v>
      </c>
      <c r="K4" s="483"/>
      <c r="L4" s="472"/>
      <c r="M4" s="473"/>
    </row>
    <row r="5" spans="1:13" ht="14.25" customHeight="1">
      <c r="A5" s="20" t="s">
        <v>27</v>
      </c>
      <c r="B5" s="21">
        <f>'Jardim 1B'!F4</f>
        <v>1.1599999999999999</v>
      </c>
      <c r="C5" s="27" t="str">
        <f>'Jardim 1B'!J4</f>
        <v>85-95</v>
      </c>
      <c r="D5" s="474"/>
      <c r="E5" s="475"/>
      <c r="F5" s="476"/>
      <c r="H5" s="20" t="s">
        <v>27</v>
      </c>
      <c r="I5" s="23">
        <f>'Jardim 1B'!F11</f>
        <v>1.04</v>
      </c>
      <c r="J5" s="26" t="str">
        <f>'Jardim 1B'!J11</f>
        <v>25-50</v>
      </c>
      <c r="K5" s="474"/>
      <c r="L5" s="475"/>
      <c r="M5" s="476"/>
    </row>
    <row r="6" spans="1:13" ht="14.25" customHeight="1">
      <c r="A6" s="20" t="s">
        <v>114</v>
      </c>
      <c r="B6" s="21">
        <f>'Jardim 1B'!G4</f>
        <v>17.39001189060642</v>
      </c>
      <c r="C6" s="23" t="str">
        <f>'Jardim 1B'!H4</f>
        <v>85-95</v>
      </c>
      <c r="D6" s="477"/>
      <c r="E6" s="478"/>
      <c r="F6" s="479"/>
      <c r="H6" s="20" t="s">
        <v>115</v>
      </c>
      <c r="I6" s="21">
        <f>'Jardim 1B'!G11</f>
        <v>14.607988165680473</v>
      </c>
      <c r="J6" s="21" t="str">
        <f>'Jardim 1B'!H11</f>
        <v>25-50</v>
      </c>
      <c r="K6" s="477"/>
      <c r="L6" s="478"/>
      <c r="M6" s="479"/>
    </row>
    <row r="7" spans="1:13" ht="28.8">
      <c r="A7" s="24" t="s">
        <v>30</v>
      </c>
      <c r="B7" s="480" t="str">
        <f>'Jardim 1B'!K4</f>
        <v>SOBREPESO</v>
      </c>
      <c r="C7" s="481"/>
      <c r="D7" s="481"/>
      <c r="E7" s="481"/>
      <c r="F7" s="482"/>
      <c r="H7" s="24" t="s">
        <v>30</v>
      </c>
      <c r="I7" s="480" t="str">
        <f>'Jardim 1B'!K11</f>
        <v>ADEQUADO</v>
      </c>
      <c r="J7" s="481"/>
      <c r="K7" s="481"/>
      <c r="L7" s="481"/>
      <c r="M7" s="482"/>
    </row>
    <row r="8" spans="1:13" ht="7.5" customHeight="1" thickBot="1"/>
    <row r="9" spans="1:13" ht="14.25" customHeight="1">
      <c r="A9" s="13" t="s">
        <v>21</v>
      </c>
      <c r="B9" s="487" t="str">
        <f>'Jardim 1B'!A5</f>
        <v>Henrique . F. dos Santos</v>
      </c>
      <c r="C9" s="485"/>
      <c r="D9" s="486"/>
      <c r="E9" s="14" t="s">
        <v>22</v>
      </c>
      <c r="F9" s="15">
        <f>'Jardim 1B'!B5</f>
        <v>43988</v>
      </c>
      <c r="H9" s="13" t="s">
        <v>21</v>
      </c>
      <c r="I9" s="487" t="str">
        <f>'Jardim 1B'!A12</f>
        <v>Samuel Travagini Garcia</v>
      </c>
      <c r="J9" s="485"/>
      <c r="K9" s="486"/>
      <c r="L9" s="14" t="s">
        <v>22</v>
      </c>
      <c r="M9" s="15">
        <f>'Jardim 1B'!B12</f>
        <v>44023</v>
      </c>
    </row>
    <row r="10" spans="1:13" ht="14.25" customHeight="1">
      <c r="A10" s="466" t="s">
        <v>23</v>
      </c>
      <c r="B10" s="467"/>
      <c r="C10" s="467"/>
      <c r="D10" s="467"/>
      <c r="E10" s="467"/>
      <c r="F10" s="468"/>
      <c r="H10" s="466" t="s">
        <v>23</v>
      </c>
      <c r="I10" s="467"/>
      <c r="J10" s="467"/>
      <c r="K10" s="467"/>
      <c r="L10" s="467"/>
      <c r="M10" s="468"/>
    </row>
    <row r="11" spans="1:13" ht="14.25" customHeight="1">
      <c r="A11" s="16" t="s">
        <v>24</v>
      </c>
      <c r="B11" s="17">
        <f>'Jardim 1B'!C5</f>
        <v>45729</v>
      </c>
      <c r="C11" s="18" t="s">
        <v>25</v>
      </c>
      <c r="D11" s="469" t="s">
        <v>26</v>
      </c>
      <c r="E11" s="470"/>
      <c r="F11" s="19" t="str">
        <f>'Jardim 1B'!D5</f>
        <v>4a 9m</v>
      </c>
      <c r="H11" s="16" t="s">
        <v>24</v>
      </c>
      <c r="I11" s="17">
        <f>'Jardim 1B'!C12</f>
        <v>45729</v>
      </c>
      <c r="J11" s="18" t="s">
        <v>25</v>
      </c>
      <c r="K11" s="469" t="s">
        <v>26</v>
      </c>
      <c r="L11" s="470"/>
      <c r="M11" s="19" t="str">
        <f>'Jardim 1B'!D12</f>
        <v>4a 8m</v>
      </c>
    </row>
    <row r="12" spans="1:13" ht="14.25" customHeight="1">
      <c r="A12" s="20" t="s">
        <v>3</v>
      </c>
      <c r="B12" s="23">
        <f>'Jardim 1B'!E5</f>
        <v>16.899999999999999</v>
      </c>
      <c r="C12" s="27" t="str">
        <f>'Jardim 1B'!I5</f>
        <v>25-50</v>
      </c>
      <c r="D12" s="471"/>
      <c r="E12" s="472"/>
      <c r="F12" s="473"/>
      <c r="H12" s="20" t="s">
        <v>3</v>
      </c>
      <c r="I12" s="23">
        <f>'Jardim 1B'!E12</f>
        <v>15.1</v>
      </c>
      <c r="J12" s="27" t="str">
        <f>'Jardim 1B'!I12</f>
        <v>5-15.</v>
      </c>
      <c r="K12" s="483"/>
      <c r="L12" s="472"/>
      <c r="M12" s="473"/>
    </row>
    <row r="13" spans="1:13" ht="14.25" customHeight="1">
      <c r="A13" s="20" t="s">
        <v>27</v>
      </c>
      <c r="B13" s="21">
        <f>'Jardim 1B'!F5</f>
        <v>1.1200000000000001</v>
      </c>
      <c r="C13" s="27" t="str">
        <f>'Jardim 1B'!J5</f>
        <v>75-85</v>
      </c>
      <c r="D13" s="474"/>
      <c r="E13" s="475"/>
      <c r="F13" s="476"/>
      <c r="H13" s="20" t="s">
        <v>27</v>
      </c>
      <c r="I13" s="23">
        <f>'Jardim 1B'!F12</f>
        <v>1.06</v>
      </c>
      <c r="J13" s="26" t="str">
        <f>'Jardim 1B'!J12</f>
        <v>25-50</v>
      </c>
      <c r="K13" s="474"/>
      <c r="L13" s="475"/>
      <c r="M13" s="476"/>
    </row>
    <row r="14" spans="1:13" ht="14.25" customHeight="1">
      <c r="A14" s="20" t="s">
        <v>28</v>
      </c>
      <c r="B14" s="21">
        <f>'Jardim 1B'!G5</f>
        <v>13.472576530612242</v>
      </c>
      <c r="C14" s="26" t="str">
        <f>'Jardim 1B'!H5</f>
        <v>5-15.</v>
      </c>
      <c r="D14" s="477"/>
      <c r="E14" s="478"/>
      <c r="F14" s="479"/>
      <c r="H14" s="20" t="s">
        <v>28</v>
      </c>
      <c r="I14" s="21">
        <f>'Jardim 1B'!G12</f>
        <v>13.438946244215021</v>
      </c>
      <c r="J14" s="21" t="str">
        <f>'Jardim 1B'!H12</f>
        <v>5-15.</v>
      </c>
      <c r="K14" s="477"/>
      <c r="L14" s="478"/>
      <c r="M14" s="479"/>
    </row>
    <row r="15" spans="1:13" ht="29.4" thickBot="1">
      <c r="A15" s="24" t="s">
        <v>30</v>
      </c>
      <c r="B15" s="480" t="str">
        <f>'Jardim 1B'!K5</f>
        <v>ADEQUADO</v>
      </c>
      <c r="C15" s="481"/>
      <c r="D15" s="481"/>
      <c r="E15" s="481"/>
      <c r="F15" s="482"/>
      <c r="H15" s="24" t="s">
        <v>30</v>
      </c>
      <c r="I15" s="480" t="str">
        <f>'Jardim 1B'!K12</f>
        <v>ADEQUADO</v>
      </c>
      <c r="J15" s="481"/>
      <c r="K15" s="481"/>
      <c r="L15" s="481"/>
      <c r="M15" s="482"/>
    </row>
    <row r="16" spans="1:13" ht="6" customHeight="1" thickBot="1"/>
    <row r="17" spans="1:13" ht="14.25" customHeight="1">
      <c r="A17" s="13" t="s">
        <v>21</v>
      </c>
      <c r="B17" s="487" t="str">
        <f>'Jardim 1B'!A6</f>
        <v>Larissa Daniel Vello</v>
      </c>
      <c r="C17" s="485"/>
      <c r="D17" s="486"/>
      <c r="E17" s="14" t="s">
        <v>22</v>
      </c>
      <c r="F17" s="15">
        <f>'Jardim 1B'!B6</f>
        <v>44080</v>
      </c>
      <c r="H17" s="13" t="s">
        <v>21</v>
      </c>
      <c r="I17" s="487" t="str">
        <f>'Jardim 1B'!A13</f>
        <v>Theo Pestana Costa</v>
      </c>
      <c r="J17" s="485"/>
      <c r="K17" s="486"/>
      <c r="L17" s="14" t="s">
        <v>22</v>
      </c>
      <c r="M17" s="15">
        <f>'Jardim 1B'!B13</f>
        <v>44256</v>
      </c>
    </row>
    <row r="18" spans="1:13" ht="14.25" customHeight="1">
      <c r="A18" s="466" t="s">
        <v>23</v>
      </c>
      <c r="B18" s="467"/>
      <c r="C18" s="467"/>
      <c r="D18" s="467"/>
      <c r="E18" s="467"/>
      <c r="F18" s="468"/>
      <c r="H18" s="466" t="s">
        <v>23</v>
      </c>
      <c r="I18" s="467"/>
      <c r="J18" s="467"/>
      <c r="K18" s="467"/>
      <c r="L18" s="467"/>
      <c r="M18" s="468"/>
    </row>
    <row r="19" spans="1:13" ht="14.25" customHeight="1">
      <c r="A19" s="16" t="s">
        <v>24</v>
      </c>
      <c r="B19" s="17">
        <f>'Jardim 1B'!C6</f>
        <v>0</v>
      </c>
      <c r="C19" s="18" t="s">
        <v>25</v>
      </c>
      <c r="D19" s="469" t="s">
        <v>26</v>
      </c>
      <c r="E19" s="470"/>
      <c r="F19" s="19">
        <f>'Jardim 1B'!D6</f>
        <v>0</v>
      </c>
      <c r="H19" s="16" t="s">
        <v>24</v>
      </c>
      <c r="I19" s="17">
        <f>'Jardim 1B'!C13</f>
        <v>45729</v>
      </c>
      <c r="J19" s="18" t="s">
        <v>25</v>
      </c>
      <c r="K19" s="469" t="s">
        <v>26</v>
      </c>
      <c r="L19" s="470"/>
      <c r="M19" s="19" t="str">
        <f>'Jardim 1B'!D13</f>
        <v xml:space="preserve">4a </v>
      </c>
    </row>
    <row r="20" spans="1:13" ht="14.25" customHeight="1">
      <c r="A20" s="20" t="s">
        <v>3</v>
      </c>
      <c r="B20" s="23">
        <f>'Jardim 1B'!E6</f>
        <v>0</v>
      </c>
      <c r="C20" s="27">
        <f>'Jardim 1B'!I6</f>
        <v>0</v>
      </c>
      <c r="D20" s="471"/>
      <c r="E20" s="472"/>
      <c r="F20" s="473"/>
      <c r="H20" s="20" t="s">
        <v>3</v>
      </c>
      <c r="I20" s="23">
        <f>'Jardim 1B'!E13</f>
        <v>18.8</v>
      </c>
      <c r="J20" s="27" t="str">
        <f>'Jardim 1B'!I13</f>
        <v>85-95</v>
      </c>
      <c r="K20" s="483"/>
      <c r="L20" s="472"/>
      <c r="M20" s="473"/>
    </row>
    <row r="21" spans="1:13" ht="14.25" customHeight="1">
      <c r="A21" s="20" t="s">
        <v>27</v>
      </c>
      <c r="B21" s="21">
        <f>'Jardim 1B'!F6</f>
        <v>0</v>
      </c>
      <c r="C21" s="27">
        <f>'Jardim 1B'!J6</f>
        <v>0</v>
      </c>
      <c r="D21" s="474"/>
      <c r="E21" s="475"/>
      <c r="F21" s="476"/>
      <c r="H21" s="20" t="s">
        <v>27</v>
      </c>
      <c r="I21" s="23">
        <f>'Jardim 1B'!F13</f>
        <v>1.06</v>
      </c>
      <c r="J21" s="26" t="str">
        <f>'Jardim 1B'!J13</f>
        <v>50-75</v>
      </c>
      <c r="K21" s="474"/>
      <c r="L21" s="475"/>
      <c r="M21" s="476"/>
    </row>
    <row r="22" spans="1:13" ht="14.25" customHeight="1">
      <c r="A22" s="20" t="s">
        <v>28</v>
      </c>
      <c r="B22" s="21" t="e">
        <f>'Jardim 1B'!G6</f>
        <v>#DIV/0!</v>
      </c>
      <c r="C22" s="23">
        <f>'Jardim 1B'!H6</f>
        <v>0</v>
      </c>
      <c r="D22" s="477"/>
      <c r="E22" s="478"/>
      <c r="F22" s="479"/>
      <c r="H22" s="20" t="s">
        <v>28</v>
      </c>
      <c r="I22" s="21">
        <f>'Jardim 1B'!G13</f>
        <v>16.731933072267708</v>
      </c>
      <c r="J22" s="21">
        <f>'Jardim 1B'!H13</f>
        <v>85</v>
      </c>
      <c r="K22" s="477"/>
      <c r="L22" s="478"/>
      <c r="M22" s="479"/>
    </row>
    <row r="23" spans="1:13" ht="29.4" thickBot="1">
      <c r="A23" s="24" t="s">
        <v>30</v>
      </c>
      <c r="B23" s="480">
        <f>'Jardim 1B'!K6</f>
        <v>0</v>
      </c>
      <c r="C23" s="481"/>
      <c r="D23" s="481"/>
      <c r="E23" s="481"/>
      <c r="F23" s="482"/>
      <c r="H23" s="24" t="s">
        <v>30</v>
      </c>
      <c r="I23" s="480" t="str">
        <f>'Jardim 1B'!K13</f>
        <v>SOBREPESO</v>
      </c>
      <c r="J23" s="481"/>
      <c r="K23" s="481"/>
      <c r="L23" s="481"/>
      <c r="M23" s="482"/>
    </row>
    <row r="24" spans="1:13" ht="8.25" customHeight="1" thickBot="1"/>
    <row r="25" spans="1:13" ht="14.25" customHeight="1">
      <c r="A25" s="13" t="s">
        <v>21</v>
      </c>
      <c r="B25" s="487" t="str">
        <f>'Jardim 1B'!A7</f>
        <v>Lucas Salvador Carvalho</v>
      </c>
      <c r="C25" s="485"/>
      <c r="D25" s="486"/>
      <c r="E25" s="14" t="s">
        <v>22</v>
      </c>
      <c r="F25" s="15">
        <f>'Jardim 1B'!B7</f>
        <v>44285</v>
      </c>
      <c r="H25" s="13" t="s">
        <v>21</v>
      </c>
      <c r="I25" s="487" t="str">
        <f>'Jardim 1B'!A14</f>
        <v>Victor Brondino</v>
      </c>
      <c r="J25" s="485"/>
      <c r="K25" s="486"/>
      <c r="L25" s="14" t="s">
        <v>22</v>
      </c>
      <c r="M25" s="15">
        <f>'Jardim 1B'!B14</f>
        <v>44097</v>
      </c>
    </row>
    <row r="26" spans="1:13" ht="14.25" customHeight="1">
      <c r="A26" s="466" t="s">
        <v>23</v>
      </c>
      <c r="B26" s="467"/>
      <c r="C26" s="467"/>
      <c r="D26" s="467"/>
      <c r="E26" s="467"/>
      <c r="F26" s="468"/>
      <c r="H26" s="466" t="s">
        <v>23</v>
      </c>
      <c r="I26" s="467"/>
      <c r="J26" s="467"/>
      <c r="K26" s="467"/>
      <c r="L26" s="467"/>
      <c r="M26" s="468"/>
    </row>
    <row r="27" spans="1:13" ht="14.25" customHeight="1">
      <c r="A27" s="16" t="s">
        <v>24</v>
      </c>
      <c r="B27" s="17">
        <f>'Jardim 1B'!C7</f>
        <v>45729</v>
      </c>
      <c r="C27" s="18" t="s">
        <v>25</v>
      </c>
      <c r="D27" s="469" t="s">
        <v>26</v>
      </c>
      <c r="E27" s="470"/>
      <c r="F27" s="19" t="str">
        <f>'Jardim 1B'!D7</f>
        <v>3a 11m</v>
      </c>
      <c r="H27" s="16" t="s">
        <v>24</v>
      </c>
      <c r="I27" s="17">
        <f>'Jardim 1B'!C14</f>
        <v>45729</v>
      </c>
      <c r="J27" s="18" t="s">
        <v>25</v>
      </c>
      <c r="K27" s="469" t="s">
        <v>26</v>
      </c>
      <c r="L27" s="470"/>
      <c r="M27" s="19" t="str">
        <f>'Jardim 1B'!D14</f>
        <v>4a 5m</v>
      </c>
    </row>
    <row r="28" spans="1:13" ht="14.25" customHeight="1">
      <c r="A28" s="20" t="s">
        <v>3</v>
      </c>
      <c r="B28" s="23">
        <f>'Jardim 1B'!E7</f>
        <v>15.8</v>
      </c>
      <c r="C28" s="27" t="str">
        <f>'Jardim 1B'!I7</f>
        <v>25-50</v>
      </c>
      <c r="D28" s="471"/>
      <c r="E28" s="472"/>
      <c r="F28" s="473"/>
      <c r="H28" s="20" t="s">
        <v>3</v>
      </c>
      <c r="I28" s="23">
        <f>'Jardim 1B'!E14</f>
        <v>14.6</v>
      </c>
      <c r="J28" s="27" t="str">
        <f>'Jardim 1B'!I14</f>
        <v>5-15.</v>
      </c>
      <c r="K28" s="483"/>
      <c r="L28" s="472"/>
      <c r="M28" s="473"/>
    </row>
    <row r="29" spans="1:13" ht="14.25" customHeight="1">
      <c r="A29" s="20" t="s">
        <v>27</v>
      </c>
      <c r="B29" s="21">
        <f>'Jardim 1B'!F7</f>
        <v>1.03</v>
      </c>
      <c r="C29" s="27" t="str">
        <f>'Jardim 1B'!J7</f>
        <v>50-75</v>
      </c>
      <c r="D29" s="474"/>
      <c r="E29" s="475"/>
      <c r="F29" s="476"/>
      <c r="H29" s="20" t="s">
        <v>27</v>
      </c>
      <c r="I29" s="23">
        <f>'Jardim 1B'!F14</f>
        <v>0.98</v>
      </c>
      <c r="J29" s="26" t="str">
        <f>'Jardim 1B'!J14</f>
        <v>3-5.</v>
      </c>
      <c r="K29" s="474"/>
      <c r="L29" s="475"/>
      <c r="M29" s="476"/>
    </row>
    <row r="30" spans="1:13" ht="14.25" customHeight="1">
      <c r="A30" s="20" t="s">
        <v>28</v>
      </c>
      <c r="B30" s="21">
        <f>'Jardim 1B'!G7</f>
        <v>14.893015364313321</v>
      </c>
      <c r="C30" s="26" t="str">
        <f>'Jardim 1B'!H7</f>
        <v>25-50</v>
      </c>
      <c r="D30" s="477"/>
      <c r="E30" s="478"/>
      <c r="F30" s="479"/>
      <c r="H30" s="20" t="s">
        <v>28</v>
      </c>
      <c r="I30" s="21">
        <f>'Jardim 1B'!G14</f>
        <v>15.201999167013746</v>
      </c>
      <c r="J30" s="21" t="str">
        <f>'Jardim 1B'!H14</f>
        <v>25-50</v>
      </c>
      <c r="K30" s="477"/>
      <c r="L30" s="478"/>
      <c r="M30" s="479"/>
    </row>
    <row r="31" spans="1:13" ht="14.25" customHeight="1" thickBot="1">
      <c r="A31" s="24" t="s">
        <v>30</v>
      </c>
      <c r="B31" s="480" t="str">
        <f>'Jardim 1B'!K7</f>
        <v>ADEQUADO</v>
      </c>
      <c r="C31" s="481"/>
      <c r="D31" s="481"/>
      <c r="E31" s="481"/>
      <c r="F31" s="482"/>
      <c r="H31" s="24" t="s">
        <v>30</v>
      </c>
      <c r="I31" s="480" t="str">
        <f>'Jardim 1B'!K14</f>
        <v>ADEQUADO</v>
      </c>
      <c r="J31" s="481"/>
      <c r="K31" s="481"/>
      <c r="L31" s="481"/>
      <c r="M31" s="482"/>
    </row>
    <row r="32" spans="1:13" ht="14.25" customHeight="1" thickBot="1"/>
    <row r="33" spans="1:13" ht="14.25" customHeight="1">
      <c r="A33" s="13" t="s">
        <v>21</v>
      </c>
      <c r="B33" s="487" t="str">
        <f>'Jardim 1B'!A8</f>
        <v>Maria Clara Marques Peres</v>
      </c>
      <c r="C33" s="485"/>
      <c r="D33" s="486"/>
      <c r="E33" s="14" t="s">
        <v>22</v>
      </c>
      <c r="F33" s="15">
        <f>'Jardim 1B'!B8</f>
        <v>44019</v>
      </c>
      <c r="H33" s="13" t="s">
        <v>21</v>
      </c>
      <c r="I33" s="487" t="str">
        <f>'Jardim 1B'!A15</f>
        <v>Vinicius Perfetto Zaneti</v>
      </c>
      <c r="J33" s="485"/>
      <c r="K33" s="486"/>
      <c r="L33" s="14" t="s">
        <v>22</v>
      </c>
      <c r="M33" s="15">
        <f>'Jardim 1B'!B15</f>
        <v>43969</v>
      </c>
    </row>
    <row r="34" spans="1:13" ht="14.25" customHeight="1">
      <c r="A34" s="466" t="s">
        <v>23</v>
      </c>
      <c r="B34" s="467"/>
      <c r="C34" s="467"/>
      <c r="D34" s="467"/>
      <c r="E34" s="467"/>
      <c r="F34" s="468"/>
      <c r="H34" s="466" t="s">
        <v>23</v>
      </c>
      <c r="I34" s="467"/>
      <c r="J34" s="467"/>
      <c r="K34" s="467"/>
      <c r="L34" s="467"/>
      <c r="M34" s="468"/>
    </row>
    <row r="35" spans="1:13" ht="14.25" customHeight="1">
      <c r="A35" s="16" t="s">
        <v>24</v>
      </c>
      <c r="B35" s="17">
        <f>'Jardim 1B'!C8</f>
        <v>45729</v>
      </c>
      <c r="C35" s="18" t="s">
        <v>25</v>
      </c>
      <c r="D35" s="469" t="s">
        <v>26</v>
      </c>
      <c r="E35" s="470"/>
      <c r="F35" s="19" t="str">
        <f>'Jardim 1B'!D8</f>
        <v>4a 8m</v>
      </c>
      <c r="H35" s="16" t="s">
        <v>24</v>
      </c>
      <c r="I35" s="17">
        <f>'Jardim 1B'!C15</f>
        <v>45729</v>
      </c>
      <c r="J35" s="18" t="s">
        <v>25</v>
      </c>
      <c r="K35" s="469" t="s">
        <v>26</v>
      </c>
      <c r="L35" s="470"/>
      <c r="M35" s="19" t="str">
        <f>'Jardim 1B'!D15</f>
        <v>4a 9m</v>
      </c>
    </row>
    <row r="36" spans="1:13" ht="14.25" customHeight="1">
      <c r="A36" s="20" t="s">
        <v>3</v>
      </c>
      <c r="B36" s="23">
        <f>'Jardim 1B'!E8</f>
        <v>18.3</v>
      </c>
      <c r="C36" s="27" t="str">
        <f>'Jardim 1B'!I8</f>
        <v>50-75</v>
      </c>
      <c r="D36" s="471"/>
      <c r="E36" s="472"/>
      <c r="F36" s="473"/>
      <c r="H36" s="20" t="s">
        <v>3</v>
      </c>
      <c r="I36" s="23">
        <f>'Jardim 1B'!E15</f>
        <v>15.8</v>
      </c>
      <c r="J36" s="27" t="str">
        <f>'Jardim 1B'!I15</f>
        <v>15-25</v>
      </c>
      <c r="K36" s="483"/>
      <c r="L36" s="472"/>
      <c r="M36" s="473"/>
    </row>
    <row r="37" spans="1:13" ht="14.25" customHeight="1">
      <c r="A37" s="20" t="s">
        <v>27</v>
      </c>
      <c r="B37" s="21">
        <f>'Jardim 1B'!F8</f>
        <v>1.1499999999999999</v>
      </c>
      <c r="C37" s="27" t="str">
        <f>'Jardim 1B'!J8</f>
        <v>95-97</v>
      </c>
      <c r="D37" s="474"/>
      <c r="E37" s="475"/>
      <c r="F37" s="476"/>
      <c r="H37" s="20" t="s">
        <v>27</v>
      </c>
      <c r="I37" s="23">
        <f>'Jardim 1B'!F15</f>
        <v>1.06</v>
      </c>
      <c r="J37" s="26" t="str">
        <f>'Jardim 1B'!J15</f>
        <v>25-50</v>
      </c>
      <c r="K37" s="474"/>
      <c r="L37" s="475"/>
      <c r="M37" s="476"/>
    </row>
    <row r="38" spans="1:13" ht="14.25" customHeight="1">
      <c r="A38" s="20" t="s">
        <v>28</v>
      </c>
      <c r="B38" s="21">
        <f>'Jardim 1B'!G8</f>
        <v>13.837429111531193</v>
      </c>
      <c r="C38" s="23">
        <f>'Jardim 1B'!H8</f>
        <v>15</v>
      </c>
      <c r="D38" s="477"/>
      <c r="E38" s="478"/>
      <c r="F38" s="479"/>
      <c r="H38" s="20" t="s">
        <v>28</v>
      </c>
      <c r="I38" s="21">
        <f>'Jardim 1B'!G15</f>
        <v>14.061943752224989</v>
      </c>
      <c r="J38" s="21" t="str">
        <f>'Jardim 1B'!H15</f>
        <v>15-25</v>
      </c>
      <c r="K38" s="477"/>
      <c r="L38" s="478"/>
      <c r="M38" s="479"/>
    </row>
    <row r="39" spans="1:13" ht="29.4" thickBot="1">
      <c r="A39" s="24" t="s">
        <v>30</v>
      </c>
      <c r="B39" s="480" t="str">
        <f>'Jardim 1B'!K8</f>
        <v>ADEQUADO</v>
      </c>
      <c r="C39" s="481"/>
      <c r="D39" s="481"/>
      <c r="E39" s="481"/>
      <c r="F39" s="482"/>
      <c r="H39" s="24" t="s">
        <v>30</v>
      </c>
      <c r="I39" s="480" t="str">
        <f>'Jardim 1B'!K15</f>
        <v>ADEQUADO</v>
      </c>
      <c r="J39" s="481"/>
      <c r="K39" s="481"/>
      <c r="L39" s="481"/>
      <c r="M39" s="482"/>
    </row>
    <row r="40" spans="1:13" ht="14.25" customHeight="1" thickBot="1"/>
    <row r="41" spans="1:13" ht="14.25" customHeight="1">
      <c r="A41" s="13" t="s">
        <v>21</v>
      </c>
      <c r="B41" s="487" t="str">
        <f>'Jardim 1B'!A9</f>
        <v>Noah Pestana Costa</v>
      </c>
      <c r="C41" s="485"/>
      <c r="D41" s="486"/>
      <c r="E41" s="14" t="s">
        <v>22</v>
      </c>
      <c r="F41" s="15">
        <f>'Jardim 1B'!B9</f>
        <v>44256</v>
      </c>
      <c r="H41" s="13" t="s">
        <v>21</v>
      </c>
      <c r="I41" s="487">
        <f>'Jardim 1B'!A16</f>
        <v>0</v>
      </c>
      <c r="J41" s="485"/>
      <c r="K41" s="486"/>
      <c r="L41" s="14" t="s">
        <v>22</v>
      </c>
      <c r="M41" s="15">
        <f>'Jardim 1B'!B16</f>
        <v>0</v>
      </c>
    </row>
    <row r="42" spans="1:13" ht="14.25" customHeight="1">
      <c r="A42" s="466" t="s">
        <v>23</v>
      </c>
      <c r="B42" s="467"/>
      <c r="C42" s="467"/>
      <c r="D42" s="467"/>
      <c r="E42" s="467"/>
      <c r="F42" s="468"/>
      <c r="H42" s="466" t="s">
        <v>23</v>
      </c>
      <c r="I42" s="467"/>
      <c r="J42" s="467"/>
      <c r="K42" s="467"/>
      <c r="L42" s="467"/>
      <c r="M42" s="468"/>
    </row>
    <row r="43" spans="1:13" ht="14.25" customHeight="1">
      <c r="A43" s="16" t="s">
        <v>24</v>
      </c>
      <c r="B43" s="17">
        <f>'Jardim 1B'!C9</f>
        <v>45729</v>
      </c>
      <c r="C43" s="18" t="s">
        <v>25</v>
      </c>
      <c r="D43" s="469" t="s">
        <v>26</v>
      </c>
      <c r="E43" s="470"/>
      <c r="F43" s="19" t="str">
        <f>'Jardim 1B'!D9</f>
        <v xml:space="preserve">4a </v>
      </c>
      <c r="H43" s="16" t="s">
        <v>24</v>
      </c>
      <c r="I43" s="17">
        <f>'Jardim 1B'!C16</f>
        <v>0</v>
      </c>
      <c r="J43" s="18" t="s">
        <v>25</v>
      </c>
      <c r="K43" s="469" t="s">
        <v>26</v>
      </c>
      <c r="L43" s="470"/>
      <c r="M43" s="19">
        <f>'Jardim 1B'!D16</f>
        <v>0</v>
      </c>
    </row>
    <row r="44" spans="1:13" ht="14.25" customHeight="1">
      <c r="A44" s="20" t="s">
        <v>3</v>
      </c>
      <c r="B44" s="23">
        <f>'Jardim 1B'!E9</f>
        <v>17.8</v>
      </c>
      <c r="C44" s="27">
        <f>'Jardim 1B'!I9</f>
        <v>75</v>
      </c>
      <c r="D44" s="471"/>
      <c r="E44" s="472"/>
      <c r="F44" s="473"/>
      <c r="H44" s="20" t="s">
        <v>3</v>
      </c>
      <c r="I44" s="23">
        <f>'Jardim 1B'!E16</f>
        <v>0</v>
      </c>
      <c r="J44" s="27">
        <f>'Jardim 1B'!I16</f>
        <v>0</v>
      </c>
      <c r="K44" s="483"/>
      <c r="L44" s="472"/>
      <c r="M44" s="473"/>
    </row>
    <row r="45" spans="1:13" ht="14.25" customHeight="1">
      <c r="A45" s="20" t="s">
        <v>27</v>
      </c>
      <c r="B45" s="21">
        <f>'Jardim 1B'!F9</f>
        <v>1.03</v>
      </c>
      <c r="C45" s="27" t="str">
        <f>'Jardim 1B'!J9</f>
        <v>25-50</v>
      </c>
      <c r="D45" s="474"/>
      <c r="E45" s="475"/>
      <c r="F45" s="476"/>
      <c r="H45" s="20" t="s">
        <v>27</v>
      </c>
      <c r="I45" s="23">
        <f>'Jardim 1B'!F16</f>
        <v>0</v>
      </c>
      <c r="J45" s="26">
        <f>'Jardim 1B'!J16</f>
        <v>0</v>
      </c>
      <c r="K45" s="474"/>
      <c r="L45" s="475"/>
      <c r="M45" s="476"/>
    </row>
    <row r="46" spans="1:13" ht="14.25" customHeight="1">
      <c r="A46" s="20" t="s">
        <v>28</v>
      </c>
      <c r="B46" s="21">
        <f>'Jardim 1B'!G9</f>
        <v>16.778207182580829</v>
      </c>
      <c r="C46" s="23" t="str">
        <f>'Jardim 1B'!H9</f>
        <v>85-95</v>
      </c>
      <c r="D46" s="477"/>
      <c r="E46" s="478"/>
      <c r="F46" s="479"/>
      <c r="H46" s="20" t="s">
        <v>28</v>
      </c>
      <c r="I46" s="21">
        <f>'Jardim 1B'!G16</f>
        <v>0</v>
      </c>
      <c r="J46" s="21">
        <f>'Jardim 1B'!H16</f>
        <v>0</v>
      </c>
      <c r="K46" s="477"/>
      <c r="L46" s="478"/>
      <c r="M46" s="479"/>
    </row>
    <row r="47" spans="1:13" ht="29.4" thickBot="1">
      <c r="A47" s="24" t="s">
        <v>30</v>
      </c>
      <c r="B47" s="480" t="str">
        <f>'Jardim 1B'!K9</f>
        <v>SOBREPESO</v>
      </c>
      <c r="C47" s="481"/>
      <c r="D47" s="481"/>
      <c r="E47" s="481"/>
      <c r="F47" s="482"/>
      <c r="H47" s="24" t="s">
        <v>30</v>
      </c>
      <c r="I47" s="480">
        <f>'Jardim 1B'!K16</f>
        <v>0</v>
      </c>
      <c r="J47" s="481"/>
      <c r="K47" s="481"/>
      <c r="L47" s="481"/>
      <c r="M47" s="482"/>
    </row>
    <row r="48" spans="1:13" ht="14.25" customHeight="1" thickBot="1"/>
    <row r="49" spans="1:13" ht="14.25" customHeight="1">
      <c r="A49" s="13" t="s">
        <v>21</v>
      </c>
      <c r="B49" s="487" t="str">
        <f>'Jardim 1B'!A10</f>
        <v>Olivia F.Takenaka</v>
      </c>
      <c r="C49" s="485"/>
      <c r="D49" s="486"/>
      <c r="E49" s="14" t="s">
        <v>22</v>
      </c>
      <c r="F49" s="15">
        <f>'Jardim 1B'!B10</f>
        <v>43936</v>
      </c>
      <c r="H49" s="13" t="s">
        <v>21</v>
      </c>
      <c r="I49" s="487" t="e">
        <f>'Jardim 1B'!#REF!</f>
        <v>#REF!</v>
      </c>
      <c r="J49" s="485"/>
      <c r="K49" s="486"/>
      <c r="L49" s="14" t="s">
        <v>22</v>
      </c>
      <c r="M49" s="15" t="e">
        <f>'Jardim 1B'!#REF!</f>
        <v>#REF!</v>
      </c>
    </row>
    <row r="50" spans="1:13" ht="14.25" customHeight="1">
      <c r="A50" s="466" t="s">
        <v>23</v>
      </c>
      <c r="B50" s="467"/>
      <c r="C50" s="467"/>
      <c r="D50" s="467"/>
      <c r="E50" s="467"/>
      <c r="F50" s="468"/>
      <c r="H50" s="466" t="s">
        <v>23</v>
      </c>
      <c r="I50" s="467"/>
      <c r="J50" s="467"/>
      <c r="K50" s="467"/>
      <c r="L50" s="467"/>
      <c r="M50" s="468"/>
    </row>
    <row r="51" spans="1:13" ht="14.25" customHeight="1">
      <c r="A51" s="16" t="s">
        <v>24</v>
      </c>
      <c r="B51" s="17">
        <f>'Jardim 1B'!C10</f>
        <v>45729</v>
      </c>
      <c r="C51" s="18" t="s">
        <v>25</v>
      </c>
      <c r="D51" s="469" t="s">
        <v>26</v>
      </c>
      <c r="E51" s="470"/>
      <c r="F51" s="19" t="str">
        <f>'Jardim 1B'!D10</f>
        <v>4a 11m</v>
      </c>
      <c r="H51" s="16" t="s">
        <v>24</v>
      </c>
      <c r="I51" s="17" t="e">
        <f>'Jardim 1B'!#REF!</f>
        <v>#REF!</v>
      </c>
      <c r="J51" s="18" t="s">
        <v>25</v>
      </c>
      <c r="K51" s="469" t="s">
        <v>26</v>
      </c>
      <c r="L51" s="470"/>
      <c r="M51" s="19" t="e">
        <f>'Jardim 1B'!#REF!</f>
        <v>#REF!</v>
      </c>
    </row>
    <row r="52" spans="1:13" ht="14.25" customHeight="1">
      <c r="A52" s="20" t="s">
        <v>3</v>
      </c>
      <c r="B52" s="23">
        <f>'Jardim 1B'!E10</f>
        <v>18.5</v>
      </c>
      <c r="C52" s="27" t="str">
        <f>'Jardim 1B'!I10</f>
        <v>50-75</v>
      </c>
      <c r="D52" s="471"/>
      <c r="E52" s="472"/>
      <c r="F52" s="473"/>
      <c r="H52" s="20" t="s">
        <v>3</v>
      </c>
      <c r="I52" s="23" t="e">
        <f>'Jardim 1B'!#REF!</f>
        <v>#REF!</v>
      </c>
      <c r="J52" s="27" t="e">
        <f>'Jardim 1B'!#REF!</f>
        <v>#REF!</v>
      </c>
      <c r="K52" s="483"/>
      <c r="L52" s="472"/>
      <c r="M52" s="473"/>
    </row>
    <row r="53" spans="1:13" ht="14.25" customHeight="1">
      <c r="A53" s="20" t="s">
        <v>27</v>
      </c>
      <c r="B53" s="21">
        <f>'Jardim 1B'!F10</f>
        <v>1.08</v>
      </c>
      <c r="C53" s="27" t="str">
        <f>'Jardim 1B'!J10</f>
        <v>25-50</v>
      </c>
      <c r="D53" s="474"/>
      <c r="E53" s="475"/>
      <c r="F53" s="476"/>
      <c r="H53" s="20" t="s">
        <v>27</v>
      </c>
      <c r="I53" s="21" t="e">
        <f>'Jardim 1B'!#REF!</f>
        <v>#REF!</v>
      </c>
      <c r="J53" s="26" t="e">
        <f>'Jardim 1B'!#REF!</f>
        <v>#REF!</v>
      </c>
      <c r="K53" s="474"/>
      <c r="L53" s="475"/>
      <c r="M53" s="476"/>
    </row>
    <row r="54" spans="1:13" ht="14.25" customHeight="1">
      <c r="A54" s="20" t="s">
        <v>28</v>
      </c>
      <c r="B54" s="21">
        <f>'Jardim 1B'!G10</f>
        <v>15.860768175582988</v>
      </c>
      <c r="C54" s="26" t="str">
        <f>'Jardim 1B'!H10</f>
        <v>50-75</v>
      </c>
      <c r="D54" s="477"/>
      <c r="E54" s="478"/>
      <c r="F54" s="479"/>
      <c r="H54" s="20" t="s">
        <v>28</v>
      </c>
      <c r="I54" s="21" t="e">
        <f>'Jardim 1B'!#REF!</f>
        <v>#REF!</v>
      </c>
      <c r="J54" s="21" t="e">
        <f>'Jardim 1B'!#REF!</f>
        <v>#REF!</v>
      </c>
      <c r="K54" s="477"/>
      <c r="L54" s="478"/>
      <c r="M54" s="479"/>
    </row>
    <row r="55" spans="1:13" ht="29.4" thickBot="1">
      <c r="A55" s="24" t="s">
        <v>30</v>
      </c>
      <c r="B55" s="480" t="str">
        <f>'Jardim 1B'!K10</f>
        <v>ADEQUADO</v>
      </c>
      <c r="C55" s="481"/>
      <c r="D55" s="481"/>
      <c r="E55" s="481"/>
      <c r="F55" s="482"/>
      <c r="H55" s="24" t="s">
        <v>30</v>
      </c>
      <c r="I55" s="480" t="e">
        <f>'Jardim 1B'!#REF!</f>
        <v>#REF!</v>
      </c>
      <c r="J55" s="481"/>
      <c r="K55" s="481"/>
      <c r="L55" s="481"/>
      <c r="M55" s="482"/>
    </row>
    <row r="56" spans="1:13" ht="14.25" customHeight="1" thickBot="1"/>
    <row r="57" spans="1:13" ht="14.25" customHeight="1">
      <c r="H57" s="13" t="s">
        <v>21</v>
      </c>
      <c r="I57" s="487" t="e">
        <f>'Jardim 1B'!#REF!</f>
        <v>#REF!</v>
      </c>
      <c r="J57" s="485"/>
      <c r="K57" s="486"/>
      <c r="L57" s="14" t="s">
        <v>22</v>
      </c>
      <c r="M57" s="15" t="e">
        <f>'Jardim 1B'!#REF!</f>
        <v>#REF!</v>
      </c>
    </row>
    <row r="58" spans="1:13" ht="14.25" customHeight="1">
      <c r="H58" s="466" t="s">
        <v>23</v>
      </c>
      <c r="I58" s="467"/>
      <c r="J58" s="467"/>
      <c r="K58" s="467"/>
      <c r="L58" s="467"/>
      <c r="M58" s="468"/>
    </row>
    <row r="59" spans="1:13" ht="14.25" customHeight="1">
      <c r="H59" s="16" t="s">
        <v>24</v>
      </c>
      <c r="I59" s="17" t="e">
        <f>'Jardim 1B'!#REF!</f>
        <v>#REF!</v>
      </c>
      <c r="J59" s="18" t="s">
        <v>25</v>
      </c>
      <c r="K59" s="469" t="s">
        <v>26</v>
      </c>
      <c r="L59" s="470"/>
      <c r="M59" s="19" t="e">
        <f>'Jardim 1B'!#REF!</f>
        <v>#REF!</v>
      </c>
    </row>
    <row r="60" spans="1:13" ht="14.25" customHeight="1">
      <c r="H60" s="20" t="s">
        <v>3</v>
      </c>
      <c r="I60" s="23" t="e">
        <f>'Jardim 1B'!#REF!</f>
        <v>#REF!</v>
      </c>
      <c r="J60" s="27" t="e">
        <f>'Jardim 1B'!#REF!</f>
        <v>#REF!</v>
      </c>
      <c r="K60" s="483"/>
      <c r="L60" s="472"/>
      <c r="M60" s="473"/>
    </row>
    <row r="61" spans="1:13" ht="14.25" customHeight="1">
      <c r="H61" s="20" t="s">
        <v>27</v>
      </c>
      <c r="I61" s="21" t="e">
        <f>'Jardim 1B'!#REF!</f>
        <v>#REF!</v>
      </c>
      <c r="J61" s="26" t="e">
        <f>'Jardim 1B'!#REF!</f>
        <v>#REF!</v>
      </c>
      <c r="K61" s="474"/>
      <c r="L61" s="475"/>
      <c r="M61" s="476"/>
    </row>
    <row r="62" spans="1:13" ht="14.25" customHeight="1">
      <c r="H62" s="20" t="s">
        <v>28</v>
      </c>
      <c r="I62" s="21" t="e">
        <f>'Jardim 1B'!#REF!</f>
        <v>#REF!</v>
      </c>
      <c r="J62" s="21" t="e">
        <f>'Jardim 1B'!#REF!</f>
        <v>#REF!</v>
      </c>
      <c r="K62" s="477"/>
      <c r="L62" s="478"/>
      <c r="M62" s="479"/>
    </row>
    <row r="63" spans="1:13" ht="14.25" customHeight="1" thickBot="1">
      <c r="H63" s="24" t="s">
        <v>30</v>
      </c>
      <c r="I63" s="480" t="e">
        <f>'Jardim 1B'!#REF!</f>
        <v>#REF!</v>
      </c>
      <c r="J63" s="481"/>
      <c r="K63" s="481"/>
      <c r="L63" s="481"/>
      <c r="M63" s="482"/>
    </row>
    <row r="64" spans="1:1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5">
    <mergeCell ref="B1:D1"/>
    <mergeCell ref="I1:K1"/>
    <mergeCell ref="A2:F2"/>
    <mergeCell ref="H2:M2"/>
    <mergeCell ref="D3:E3"/>
    <mergeCell ref="K3:L3"/>
    <mergeCell ref="K4:M6"/>
    <mergeCell ref="D4:F6"/>
    <mergeCell ref="B7:F7"/>
    <mergeCell ref="B9:D9"/>
    <mergeCell ref="A10:F10"/>
    <mergeCell ref="D11:E11"/>
    <mergeCell ref="D12:F14"/>
    <mergeCell ref="B15:F15"/>
    <mergeCell ref="I7:M7"/>
    <mergeCell ref="I9:K9"/>
    <mergeCell ref="H10:M10"/>
    <mergeCell ref="K11:L11"/>
    <mergeCell ref="K12:M14"/>
    <mergeCell ref="I15:M15"/>
    <mergeCell ref="I17:K17"/>
    <mergeCell ref="D27:E27"/>
    <mergeCell ref="D28:F30"/>
    <mergeCell ref="B31:F31"/>
    <mergeCell ref="B33:D33"/>
    <mergeCell ref="K28:M30"/>
    <mergeCell ref="I31:M31"/>
    <mergeCell ref="I33:K33"/>
    <mergeCell ref="A34:F34"/>
    <mergeCell ref="D35:E35"/>
    <mergeCell ref="D36:F38"/>
    <mergeCell ref="B39:F39"/>
    <mergeCell ref="B17:D17"/>
    <mergeCell ref="A18:F18"/>
    <mergeCell ref="D19:E19"/>
    <mergeCell ref="D20:F22"/>
    <mergeCell ref="B23:F23"/>
    <mergeCell ref="B25:D25"/>
    <mergeCell ref="A26:F26"/>
    <mergeCell ref="H34:M34"/>
    <mergeCell ref="K35:L35"/>
    <mergeCell ref="K36:M38"/>
    <mergeCell ref="I39:M39"/>
    <mergeCell ref="H18:M18"/>
    <mergeCell ref="K19:L19"/>
    <mergeCell ref="K20:M22"/>
    <mergeCell ref="I23:M23"/>
    <mergeCell ref="I25:K25"/>
    <mergeCell ref="H26:M26"/>
    <mergeCell ref="K27:L27"/>
    <mergeCell ref="B41:D41"/>
    <mergeCell ref="A42:F42"/>
    <mergeCell ref="D43:E43"/>
    <mergeCell ref="D44:F46"/>
    <mergeCell ref="B47:F47"/>
    <mergeCell ref="B49:D49"/>
    <mergeCell ref="A50:F50"/>
    <mergeCell ref="D51:E51"/>
    <mergeCell ref="D52:F54"/>
    <mergeCell ref="B55:F55"/>
    <mergeCell ref="I41:K41"/>
    <mergeCell ref="H42:M42"/>
    <mergeCell ref="K43:L43"/>
    <mergeCell ref="K44:M46"/>
    <mergeCell ref="I47:M47"/>
    <mergeCell ref="I49:K49"/>
    <mergeCell ref="H50:M50"/>
    <mergeCell ref="K51:L51"/>
    <mergeCell ref="K52:M54"/>
    <mergeCell ref="I55:M55"/>
    <mergeCell ref="I57:K57"/>
    <mergeCell ref="H58:M58"/>
    <mergeCell ref="K59:L59"/>
    <mergeCell ref="K60:M62"/>
    <mergeCell ref="I63:M63"/>
  </mergeCells>
  <pageMargins left="0.511811024" right="0.511811024" top="0.78740157499999996" bottom="0.78740157499999996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D965"/>
  </sheetPr>
  <dimension ref="A1:Z1001"/>
  <sheetViews>
    <sheetView workbookViewId="0">
      <selection sqref="A1:K11"/>
    </sheetView>
  </sheetViews>
  <sheetFormatPr defaultColWidth="14.44140625" defaultRowHeight="15" customHeight="1"/>
  <cols>
    <col min="1" max="1" width="22" style="187" customWidth="1"/>
    <col min="2" max="2" width="11.44140625" style="187" customWidth="1"/>
    <col min="3" max="3" width="11.88671875" style="187" customWidth="1"/>
    <col min="4" max="4" width="7.33203125" style="187" customWidth="1"/>
    <col min="5" max="5" width="6.109375" style="187" customWidth="1"/>
    <col min="6" max="6" width="7.88671875" style="187" bestFit="1" customWidth="1"/>
    <col min="7" max="7" width="7.5546875" style="187" bestFit="1" customWidth="1"/>
    <col min="8" max="8" width="6.88671875" style="187" customWidth="1"/>
    <col min="9" max="10" width="5.5546875" style="187" customWidth="1"/>
    <col min="11" max="11" width="19.21875" style="187" customWidth="1"/>
    <col min="12" max="12" width="3.33203125" style="187" customWidth="1"/>
    <col min="13" max="13" width="12.5546875" style="187" customWidth="1"/>
    <col min="14" max="14" width="7.109375" style="187" customWidth="1"/>
    <col min="15" max="15" width="7.33203125" style="187" customWidth="1"/>
    <col min="16" max="26" width="9.109375" style="187" customWidth="1"/>
    <col min="27" max="16384" width="14.44140625" style="187"/>
  </cols>
  <sheetData>
    <row r="1" spans="1:26" ht="14.25" customHeight="1">
      <c r="A1" s="524" t="s">
        <v>210</v>
      </c>
      <c r="B1" s="521"/>
      <c r="C1" s="521"/>
      <c r="D1" s="521"/>
      <c r="E1" s="521"/>
      <c r="F1" s="521"/>
      <c r="G1" s="521"/>
      <c r="H1" s="521"/>
      <c r="I1" s="521"/>
      <c r="J1" s="522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</row>
    <row r="2" spans="1:26" ht="14.25" customHeight="1">
      <c r="A2" s="183"/>
      <c r="B2" s="184"/>
      <c r="C2" s="184"/>
      <c r="D2" s="184"/>
      <c r="E2" s="184"/>
      <c r="F2" s="184"/>
      <c r="G2" s="184"/>
      <c r="H2" s="184"/>
      <c r="I2" s="184"/>
      <c r="J2" s="185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</row>
    <row r="3" spans="1:26" ht="31.8" customHeight="1">
      <c r="A3" s="181"/>
      <c r="B3" s="182" t="s">
        <v>0</v>
      </c>
      <c r="C3" s="182" t="s">
        <v>1</v>
      </c>
      <c r="D3" s="182" t="s">
        <v>2</v>
      </c>
      <c r="E3" s="182" t="s">
        <v>3</v>
      </c>
      <c r="F3" s="182" t="s">
        <v>4</v>
      </c>
      <c r="G3" s="182" t="s">
        <v>5</v>
      </c>
      <c r="H3" s="182" t="s">
        <v>6</v>
      </c>
      <c r="I3" s="182" t="s">
        <v>7</v>
      </c>
      <c r="J3" s="182" t="s">
        <v>8</v>
      </c>
      <c r="K3" s="182" t="s">
        <v>9</v>
      </c>
      <c r="L3" s="169"/>
      <c r="M3" s="188"/>
      <c r="N3" s="188" t="s">
        <v>10</v>
      </c>
      <c r="O3" s="188" t="s">
        <v>11</v>
      </c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</row>
    <row r="4" spans="1:26" ht="14.25" customHeight="1">
      <c r="A4" s="356" t="s">
        <v>211</v>
      </c>
      <c r="B4" s="249">
        <v>43876</v>
      </c>
      <c r="C4" s="244">
        <v>45729</v>
      </c>
      <c r="D4" s="374" t="s">
        <v>260</v>
      </c>
      <c r="E4" s="374">
        <v>16.600000000000001</v>
      </c>
      <c r="F4" s="374">
        <v>1.0900000000000001</v>
      </c>
      <c r="G4" s="96">
        <f t="shared" ref="G4:G11" si="0">E4/(F4*F4)</f>
        <v>13.971887888224897</v>
      </c>
      <c r="H4" s="375" t="s">
        <v>272</v>
      </c>
      <c r="I4" s="376" t="s">
        <v>272</v>
      </c>
      <c r="J4" s="377" t="s">
        <v>274</v>
      </c>
      <c r="K4" s="102" t="s">
        <v>290</v>
      </c>
      <c r="L4" s="161"/>
      <c r="M4" s="189" t="s">
        <v>12</v>
      </c>
      <c r="N4" s="188"/>
      <c r="O4" s="188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</row>
    <row r="5" spans="1:26" ht="14.25" customHeight="1">
      <c r="A5" s="311" t="s">
        <v>212</v>
      </c>
      <c r="B5" s="312">
        <v>43635</v>
      </c>
      <c r="C5" s="220">
        <v>45729</v>
      </c>
      <c r="D5" s="313" t="s">
        <v>261</v>
      </c>
      <c r="E5" s="313">
        <v>17.3</v>
      </c>
      <c r="F5" s="313">
        <v>1.1100000000000001</v>
      </c>
      <c r="G5" s="368">
        <f t="shared" si="0"/>
        <v>14.041068095122148</v>
      </c>
      <c r="H5" s="225" t="s">
        <v>272</v>
      </c>
      <c r="I5" s="225" t="s">
        <v>272</v>
      </c>
      <c r="J5" s="225" t="s">
        <v>274</v>
      </c>
      <c r="K5" s="225" t="s">
        <v>290</v>
      </c>
      <c r="L5" s="161"/>
      <c r="M5" s="189" t="s">
        <v>13</v>
      </c>
      <c r="N5" s="188">
        <v>3</v>
      </c>
      <c r="O5" s="188">
        <v>3</v>
      </c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</row>
    <row r="6" spans="1:26" ht="14.25" customHeight="1">
      <c r="A6" s="311" t="s">
        <v>101</v>
      </c>
      <c r="B6" s="312">
        <v>43759</v>
      </c>
      <c r="C6" s="220">
        <v>45729</v>
      </c>
      <c r="D6" s="313" t="s">
        <v>262</v>
      </c>
      <c r="E6" s="313">
        <v>19.3</v>
      </c>
      <c r="F6" s="383">
        <v>1.1000000000000001</v>
      </c>
      <c r="G6" s="215">
        <f t="shared" si="0"/>
        <v>15.950413223140494</v>
      </c>
      <c r="H6" s="217" t="s">
        <v>275</v>
      </c>
      <c r="I6" s="217" t="s">
        <v>275</v>
      </c>
      <c r="J6" s="217" t="s">
        <v>274</v>
      </c>
      <c r="K6" s="217" t="s">
        <v>290</v>
      </c>
      <c r="L6" s="161"/>
      <c r="M6" s="189" t="s">
        <v>15</v>
      </c>
      <c r="N6" s="188"/>
      <c r="O6" s="188">
        <v>1</v>
      </c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</row>
    <row r="7" spans="1:26" ht="14.25" customHeight="1">
      <c r="A7" s="378" t="s">
        <v>102</v>
      </c>
      <c r="B7" s="249">
        <v>43565</v>
      </c>
      <c r="C7" s="244">
        <v>45729</v>
      </c>
      <c r="D7" s="374" t="s">
        <v>263</v>
      </c>
      <c r="E7" s="374">
        <v>20.3</v>
      </c>
      <c r="F7" s="374">
        <v>1.1599999999999999</v>
      </c>
      <c r="G7" s="97">
        <f t="shared" si="0"/>
        <v>15.086206896551726</v>
      </c>
      <c r="H7" s="103" t="s">
        <v>274</v>
      </c>
      <c r="I7" s="103">
        <v>50</v>
      </c>
      <c r="J7" s="103" t="s">
        <v>275</v>
      </c>
      <c r="K7" s="103" t="s">
        <v>290</v>
      </c>
      <c r="L7" s="161"/>
      <c r="M7" s="189" t="s">
        <v>17</v>
      </c>
      <c r="N7" s="188"/>
      <c r="O7" s="188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</row>
    <row r="8" spans="1:26" ht="14.25" customHeight="1">
      <c r="A8" s="311" t="s">
        <v>103</v>
      </c>
      <c r="B8" s="312">
        <v>43596</v>
      </c>
      <c r="C8" s="220">
        <v>45729</v>
      </c>
      <c r="D8" s="313" t="s">
        <v>264</v>
      </c>
      <c r="E8" s="314">
        <v>17</v>
      </c>
      <c r="F8" s="313">
        <v>1.1299999999999999</v>
      </c>
      <c r="G8" s="215">
        <f t="shared" si="0"/>
        <v>13.313493617354533</v>
      </c>
      <c r="H8" s="217" t="s">
        <v>273</v>
      </c>
      <c r="I8" s="406" t="s">
        <v>273</v>
      </c>
      <c r="J8" s="217" t="s">
        <v>274</v>
      </c>
      <c r="K8" s="217" t="s">
        <v>290</v>
      </c>
      <c r="L8" s="161"/>
      <c r="M8" s="189" t="s">
        <v>18</v>
      </c>
      <c r="N8" s="188">
        <f>SUM(N5:N7)</f>
        <v>3</v>
      </c>
      <c r="O8" s="188">
        <f>SUM(O5:O7)</f>
        <v>4</v>
      </c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</row>
    <row r="9" spans="1:26" ht="14.25" customHeight="1">
      <c r="A9" s="436" t="s">
        <v>213</v>
      </c>
      <c r="B9" s="408">
        <v>43836</v>
      </c>
      <c r="C9" s="409"/>
      <c r="D9" s="439"/>
      <c r="E9" s="439"/>
      <c r="F9" s="439"/>
      <c r="G9" s="412" t="e">
        <f t="shared" si="0"/>
        <v>#DIV/0!</v>
      </c>
      <c r="H9" s="458"/>
      <c r="I9" s="458"/>
      <c r="J9" s="458"/>
      <c r="K9" s="458"/>
      <c r="L9" s="161"/>
      <c r="M9" s="189" t="s">
        <v>19</v>
      </c>
      <c r="N9" s="188"/>
      <c r="O9" s="205">
        <f>SUM(N8:O8)</f>
        <v>7</v>
      </c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</row>
    <row r="10" spans="1:26" ht="14.25" customHeight="1">
      <c r="A10" s="356" t="s">
        <v>104</v>
      </c>
      <c r="B10" s="249">
        <v>43596</v>
      </c>
      <c r="C10" s="244">
        <v>45729</v>
      </c>
      <c r="D10" s="374" t="s">
        <v>264</v>
      </c>
      <c r="E10" s="374">
        <v>34.4</v>
      </c>
      <c r="F10" s="381">
        <v>1.2</v>
      </c>
      <c r="G10" s="97">
        <f t="shared" si="0"/>
        <v>23.888888888888889</v>
      </c>
      <c r="H10" s="103" t="s">
        <v>282</v>
      </c>
      <c r="I10" s="103" t="s">
        <v>282</v>
      </c>
      <c r="J10" s="103">
        <v>85</v>
      </c>
      <c r="K10" s="103" t="s">
        <v>289</v>
      </c>
      <c r="L10" s="161"/>
      <c r="M10" s="190"/>
      <c r="N10" s="191"/>
      <c r="O10" s="19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</row>
    <row r="11" spans="1:26" ht="14.25" customHeight="1">
      <c r="A11" s="356" t="s">
        <v>105</v>
      </c>
      <c r="B11" s="249">
        <v>43654</v>
      </c>
      <c r="C11" s="244">
        <v>45729</v>
      </c>
      <c r="D11" s="374" t="s">
        <v>261</v>
      </c>
      <c r="E11" s="374">
        <v>22.6</v>
      </c>
      <c r="F11" s="381">
        <v>1.2</v>
      </c>
      <c r="G11" s="97">
        <f t="shared" si="0"/>
        <v>15.694444444444446</v>
      </c>
      <c r="H11" s="103" t="s">
        <v>275</v>
      </c>
      <c r="I11" s="103" t="s">
        <v>269</v>
      </c>
      <c r="J11" s="103" t="s">
        <v>271</v>
      </c>
      <c r="K11" s="103" t="s">
        <v>290</v>
      </c>
      <c r="L11" s="161"/>
      <c r="M11" s="190"/>
      <c r="N11" s="191"/>
      <c r="O11" s="19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</row>
    <row r="12" spans="1:26" ht="14.25" customHeight="1">
      <c r="A12" s="363"/>
      <c r="B12" s="214"/>
      <c r="C12" s="214"/>
      <c r="D12" s="215"/>
      <c r="E12" s="214"/>
      <c r="F12" s="215"/>
      <c r="G12" s="215"/>
      <c r="H12" s="217"/>
      <c r="I12" s="217"/>
      <c r="J12" s="217"/>
      <c r="K12" s="217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</row>
    <row r="13" spans="1:26" ht="14.25" customHeight="1">
      <c r="A13" s="363"/>
      <c r="B13" s="214"/>
      <c r="C13" s="214"/>
      <c r="D13" s="215"/>
      <c r="E13" s="217"/>
      <c r="F13" s="217"/>
      <c r="G13" s="215"/>
      <c r="H13" s="217"/>
      <c r="I13" s="217"/>
      <c r="J13" s="217"/>
      <c r="K13" s="217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</row>
    <row r="14" spans="1:26" ht="14.25" customHeight="1">
      <c r="A14" s="363"/>
      <c r="B14" s="214"/>
      <c r="C14" s="373"/>
      <c r="D14" s="215"/>
      <c r="E14" s="217"/>
      <c r="F14" s="217"/>
      <c r="G14" s="215"/>
      <c r="H14" s="217"/>
      <c r="I14" s="217"/>
      <c r="J14" s="217"/>
      <c r="K14" s="217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</row>
    <row r="15" spans="1:26" ht="14.25" customHeight="1">
      <c r="A15" s="161"/>
      <c r="B15" s="161"/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</row>
    <row r="16" spans="1:26" ht="14.25" customHeight="1">
      <c r="A16" s="161"/>
      <c r="B16" s="161"/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</row>
    <row r="17" spans="1:26" ht="14.25" customHeight="1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</row>
    <row r="18" spans="1:26" ht="14.25" customHeight="1">
      <c r="A18" s="161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</row>
    <row r="19" spans="1:26" ht="14.25" customHeight="1">
      <c r="A19" s="161"/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</row>
    <row r="20" spans="1:26" ht="14.25" customHeight="1">
      <c r="A20" s="161"/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</row>
    <row r="21" spans="1:26" ht="14.25" customHeight="1">
      <c r="A21" s="161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</row>
    <row r="22" spans="1:26" ht="14.25" customHeight="1">
      <c r="A22" s="161"/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</row>
    <row r="23" spans="1:26" ht="14.25" customHeight="1">
      <c r="A23" s="161"/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</row>
    <row r="24" spans="1:26" ht="14.25" customHeight="1">
      <c r="A24" s="161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</row>
    <row r="25" spans="1:26" ht="14.25" customHeight="1">
      <c r="A25" s="161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</row>
    <row r="26" spans="1:26" ht="14.25" customHeight="1">
      <c r="A26" s="161"/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</row>
    <row r="27" spans="1:26" ht="14.25" customHeight="1">
      <c r="A27" s="161"/>
      <c r="B27" s="161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</row>
    <row r="28" spans="1:26" ht="14.25" customHeight="1">
      <c r="A28" s="161"/>
      <c r="B28" s="161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</row>
    <row r="29" spans="1:26" ht="14.25" customHeight="1">
      <c r="A29" s="161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</row>
    <row r="30" spans="1:26" ht="14.25" customHeight="1">
      <c r="A30" s="161"/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</row>
    <row r="31" spans="1:26" ht="14.25" customHeight="1">
      <c r="A31" s="161"/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</row>
    <row r="32" spans="1:26" ht="14.25" customHeight="1">
      <c r="A32" s="161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</row>
    <row r="33" spans="1:26" ht="14.25" customHeight="1">
      <c r="A33" s="161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</row>
    <row r="34" spans="1:26" ht="14.25" customHeight="1">
      <c r="A34" s="161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</row>
    <row r="35" spans="1:26" ht="14.25" customHeight="1">
      <c r="A35" s="161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</row>
    <row r="36" spans="1:26" ht="14.25" customHeight="1">
      <c r="A36" s="161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</row>
    <row r="37" spans="1:26" ht="14.25" customHeight="1">
      <c r="A37" s="161"/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</row>
    <row r="38" spans="1:26" ht="14.25" customHeight="1">
      <c r="A38" s="161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</row>
    <row r="39" spans="1:26" ht="14.25" customHeight="1">
      <c r="A39" s="161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</row>
    <row r="40" spans="1:26" ht="14.25" customHeight="1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</row>
    <row r="41" spans="1:26" ht="14.25" customHeight="1">
      <c r="A41" s="161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</row>
    <row r="42" spans="1:26" ht="14.25" customHeight="1">
      <c r="A42" s="161"/>
      <c r="B42" s="161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</row>
    <row r="43" spans="1:26" ht="14.25" customHeight="1">
      <c r="A43" s="161"/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</row>
    <row r="44" spans="1:26" ht="14.25" customHeight="1">
      <c r="A44" s="161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</row>
    <row r="45" spans="1:26" ht="14.25" customHeight="1">
      <c r="A45" s="161"/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</row>
    <row r="46" spans="1:26" ht="14.25" customHeight="1">
      <c r="A46" s="161"/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</row>
    <row r="47" spans="1:26" ht="14.25" customHeight="1">
      <c r="A47" s="161"/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</row>
    <row r="48" spans="1:26" ht="14.25" customHeight="1">
      <c r="A48" s="161"/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</row>
    <row r="49" spans="1:26" ht="14.25" customHeight="1">
      <c r="A49" s="161"/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</row>
    <row r="50" spans="1:26" ht="14.25" customHeight="1">
      <c r="A50" s="161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</row>
    <row r="51" spans="1:26" ht="14.25" customHeight="1">
      <c r="A51" s="161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</row>
    <row r="52" spans="1:26" ht="14.25" customHeight="1">
      <c r="A52" s="161"/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</row>
    <row r="53" spans="1:26" ht="14.25" customHeight="1">
      <c r="A53" s="161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</row>
    <row r="54" spans="1:26" ht="14.25" customHeight="1">
      <c r="A54" s="161"/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</row>
    <row r="55" spans="1:26" ht="14.25" customHeight="1">
      <c r="A55" s="161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</row>
    <row r="56" spans="1:26" ht="14.25" customHeight="1">
      <c r="A56" s="161"/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</row>
    <row r="57" spans="1:26" ht="14.25" customHeight="1">
      <c r="A57" s="161"/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</row>
    <row r="58" spans="1:26" ht="14.25" customHeight="1">
      <c r="A58" s="161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</row>
    <row r="59" spans="1:26" ht="14.25" customHeight="1">
      <c r="A59" s="161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</row>
    <row r="60" spans="1:26" ht="14.25" customHeight="1">
      <c r="A60" s="161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</row>
    <row r="61" spans="1:26" ht="14.25" customHeight="1">
      <c r="A61" s="161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</row>
    <row r="62" spans="1:26" ht="14.25" customHeight="1">
      <c r="A62" s="161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</row>
    <row r="63" spans="1:26" ht="14.25" customHeight="1">
      <c r="A63" s="161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</row>
    <row r="64" spans="1:26" ht="14.25" customHeight="1">
      <c r="A64" s="161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</row>
    <row r="65" spans="1:26" ht="14.25" customHeight="1">
      <c r="A65" s="161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</row>
    <row r="66" spans="1:26" ht="14.25" customHeight="1">
      <c r="A66" s="161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</row>
    <row r="67" spans="1:26" ht="14.25" customHeight="1">
      <c r="A67" s="161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</row>
    <row r="68" spans="1:26" ht="14.25" customHeight="1">
      <c r="A68" s="161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</row>
    <row r="69" spans="1:26" ht="14.25" customHeight="1">
      <c r="A69" s="161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</row>
    <row r="70" spans="1:26" ht="14.25" customHeight="1">
      <c r="A70" s="161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</row>
    <row r="71" spans="1:26" ht="14.25" customHeight="1">
      <c r="A71" s="161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</row>
    <row r="72" spans="1:26" ht="14.25" customHeight="1">
      <c r="A72" s="161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</row>
    <row r="73" spans="1:26" ht="14.25" customHeight="1">
      <c r="A73" s="161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</row>
    <row r="74" spans="1:26" ht="14.25" customHeight="1">
      <c r="A74" s="161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</row>
    <row r="75" spans="1:26" ht="14.25" customHeight="1">
      <c r="A75" s="161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</row>
    <row r="76" spans="1:26" ht="14.25" customHeight="1">
      <c r="A76" s="16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</row>
    <row r="77" spans="1:26" ht="14.25" customHeight="1">
      <c r="A77" s="161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</row>
    <row r="78" spans="1:26" ht="14.25" customHeight="1">
      <c r="A78" s="161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</row>
    <row r="79" spans="1:26" ht="14.25" customHeight="1">
      <c r="A79" s="161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</row>
    <row r="80" spans="1:26" ht="14.25" customHeight="1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</row>
    <row r="81" spans="1:26" ht="14.25" customHeight="1">
      <c r="A81" s="161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</row>
    <row r="82" spans="1:26" ht="14.25" customHeight="1">
      <c r="A82" s="16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</row>
    <row r="83" spans="1:26" ht="14.25" customHeight="1">
      <c r="A83" s="161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</row>
    <row r="84" spans="1:26" ht="14.25" customHeight="1">
      <c r="A84" s="161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</row>
    <row r="85" spans="1:26" ht="14.25" customHeight="1">
      <c r="A85" s="161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</row>
    <row r="86" spans="1:26" ht="14.25" customHeight="1">
      <c r="A86" s="161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</row>
    <row r="87" spans="1:26" ht="14.25" customHeight="1">
      <c r="A87" s="161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</row>
    <row r="88" spans="1:26" ht="14.25" customHeight="1">
      <c r="A88" s="161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</row>
    <row r="89" spans="1:26" ht="14.25" customHeight="1">
      <c r="A89" s="161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</row>
    <row r="90" spans="1:26" ht="14.25" customHeight="1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</row>
    <row r="91" spans="1:26" ht="14.25" customHeight="1">
      <c r="A91" s="16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</row>
    <row r="92" spans="1:26" ht="14.25" customHeight="1">
      <c r="A92" s="161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</row>
    <row r="93" spans="1:26" ht="14.25" customHeight="1">
      <c r="A93" s="161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</row>
    <row r="94" spans="1:26" ht="14.25" customHeight="1">
      <c r="A94" s="161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</row>
    <row r="95" spans="1:26" ht="14.25" customHeight="1">
      <c r="A95" s="161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</row>
    <row r="96" spans="1:26" ht="14.25" customHeight="1">
      <c r="A96" s="161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</row>
    <row r="97" spans="1:26" ht="14.25" customHeight="1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</row>
    <row r="98" spans="1:26" ht="14.25" customHeight="1">
      <c r="A98" s="161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</row>
    <row r="99" spans="1:26" ht="14.25" customHeight="1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</row>
    <row r="100" spans="1:26" ht="14.25" customHeight="1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</row>
    <row r="101" spans="1:26" ht="14.25" customHeight="1">
      <c r="A101" s="161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</row>
    <row r="102" spans="1:26" ht="14.25" customHeight="1">
      <c r="A102" s="161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</row>
    <row r="103" spans="1:26" ht="14.25" customHeight="1">
      <c r="A103" s="161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</row>
    <row r="104" spans="1:26" ht="14.25" customHeight="1">
      <c r="A104" s="161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</row>
    <row r="105" spans="1:26" ht="14.25" customHeight="1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</row>
    <row r="106" spans="1:26" ht="14.25" customHeight="1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</row>
    <row r="107" spans="1:26" ht="14.25" customHeight="1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</row>
    <row r="108" spans="1:26" ht="14.25" customHeight="1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</row>
    <row r="109" spans="1:26" ht="14.25" customHeight="1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</row>
    <row r="110" spans="1:26" ht="14.25" customHeight="1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</row>
    <row r="111" spans="1:26" ht="14.25" customHeight="1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</row>
    <row r="112" spans="1:26" ht="14.25" customHeight="1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</row>
    <row r="113" spans="1:26" ht="14.25" customHeight="1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</row>
    <row r="114" spans="1:26" ht="14.25" customHeight="1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</row>
    <row r="115" spans="1:26" ht="14.25" customHeight="1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</row>
    <row r="116" spans="1:26" ht="14.25" customHeight="1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</row>
    <row r="117" spans="1:26" ht="14.25" customHeight="1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</row>
    <row r="118" spans="1:26" ht="14.25" customHeight="1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</row>
    <row r="119" spans="1:26" ht="14.25" customHeight="1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</row>
    <row r="120" spans="1:26" ht="14.25" customHeight="1">
      <c r="A120" s="161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</row>
    <row r="121" spans="1:26" ht="14.25" customHeight="1">
      <c r="A121" s="161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</row>
    <row r="122" spans="1:26" ht="14.25" customHeight="1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</row>
    <row r="123" spans="1:26" ht="14.25" customHeight="1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</row>
    <row r="124" spans="1:26" ht="14.25" customHeight="1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</row>
    <row r="125" spans="1:26" ht="14.25" customHeight="1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</row>
    <row r="126" spans="1:26" ht="14.25" customHeight="1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</row>
    <row r="127" spans="1:26" ht="14.25" customHeight="1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</row>
    <row r="128" spans="1:26" ht="14.25" customHeight="1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</row>
    <row r="129" spans="1:26" ht="14.25" customHeight="1">
      <c r="A129" s="161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</row>
    <row r="130" spans="1:26" ht="14.25" customHeight="1">
      <c r="A130" s="161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</row>
    <row r="131" spans="1:26" ht="14.25" customHeight="1">
      <c r="A131" s="161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</row>
    <row r="132" spans="1:26" ht="14.25" customHeight="1">
      <c r="A132" s="16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</row>
    <row r="133" spans="1:26" ht="14.25" customHeight="1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</row>
    <row r="134" spans="1:26" ht="14.25" customHeight="1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</row>
    <row r="135" spans="1:26" ht="14.25" customHeight="1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</row>
    <row r="136" spans="1:26" ht="14.25" customHeight="1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</row>
    <row r="137" spans="1:26" ht="14.25" customHeight="1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</row>
    <row r="138" spans="1:26" ht="14.25" customHeight="1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</row>
    <row r="139" spans="1:26" ht="14.25" customHeight="1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</row>
    <row r="140" spans="1:26" ht="14.25" customHeight="1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</row>
    <row r="141" spans="1:26" ht="14.25" customHeight="1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</row>
    <row r="142" spans="1:26" ht="14.25" customHeight="1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</row>
    <row r="143" spans="1:26" ht="14.25" customHeight="1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</row>
    <row r="144" spans="1:26" ht="14.25" customHeight="1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</row>
    <row r="145" spans="1:26" ht="14.25" customHeight="1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</row>
    <row r="146" spans="1:26" ht="14.25" customHeight="1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</row>
    <row r="147" spans="1:26" ht="14.25" customHeight="1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</row>
    <row r="148" spans="1:26" ht="14.25" customHeight="1">
      <c r="A148" s="161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</row>
    <row r="149" spans="1:26" ht="14.25" customHeight="1">
      <c r="A149" s="161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</row>
    <row r="150" spans="1:26" ht="14.25" customHeight="1">
      <c r="A150" s="161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</row>
    <row r="151" spans="1:26" ht="14.25" customHeight="1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</row>
    <row r="152" spans="1:26" ht="14.25" customHeight="1">
      <c r="A152" s="161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</row>
    <row r="153" spans="1:26" ht="14.25" customHeight="1">
      <c r="A153" s="161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</row>
    <row r="154" spans="1:26" ht="14.25" customHeight="1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</row>
    <row r="155" spans="1:26" ht="14.25" customHeight="1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</row>
    <row r="156" spans="1:26" ht="14.25" customHeight="1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</row>
    <row r="157" spans="1:26" ht="14.25" customHeight="1">
      <c r="A157" s="161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</row>
    <row r="158" spans="1:26" ht="14.25" customHeight="1">
      <c r="A158" s="161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</row>
    <row r="159" spans="1:26" ht="14.25" customHeight="1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</row>
    <row r="160" spans="1:26" ht="14.25" customHeight="1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</row>
    <row r="161" spans="1:26" ht="14.25" customHeight="1">
      <c r="A161" s="161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</row>
    <row r="162" spans="1:26" ht="14.25" customHeight="1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</row>
    <row r="163" spans="1:26" ht="14.25" customHeight="1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</row>
    <row r="164" spans="1:26" ht="14.25" customHeight="1">
      <c r="A164" s="161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</row>
    <row r="165" spans="1:26" ht="14.25" customHeight="1">
      <c r="A165" s="16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</row>
    <row r="166" spans="1:26" ht="14.25" customHeight="1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</row>
    <row r="167" spans="1:26" ht="14.25" customHeight="1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</row>
    <row r="168" spans="1:26" ht="14.25" customHeight="1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</row>
    <row r="169" spans="1:26" ht="14.25" customHeight="1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</row>
    <row r="170" spans="1:26" ht="14.25" customHeight="1">
      <c r="A170" s="161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</row>
    <row r="171" spans="1:26" ht="14.25" customHeight="1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</row>
    <row r="172" spans="1:26" ht="14.25" customHeight="1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</row>
    <row r="173" spans="1:26" ht="14.25" customHeight="1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</row>
    <row r="174" spans="1:26" ht="14.25" customHeight="1">
      <c r="A174" s="161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</row>
    <row r="175" spans="1:26" ht="14.25" customHeight="1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</row>
    <row r="176" spans="1:26" ht="14.25" customHeight="1">
      <c r="A176" s="161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</row>
    <row r="177" spans="1:26" ht="14.25" customHeight="1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</row>
    <row r="178" spans="1:26" ht="14.25" customHeight="1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</row>
    <row r="179" spans="1:26" ht="14.25" customHeight="1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</row>
    <row r="180" spans="1:26" ht="14.25" customHeight="1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</row>
    <row r="181" spans="1:26" ht="14.25" customHeight="1">
      <c r="A181" s="161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</row>
    <row r="182" spans="1:26" ht="14.25" customHeight="1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</row>
    <row r="183" spans="1:26" ht="14.25" customHeight="1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</row>
    <row r="184" spans="1:26" ht="14.25" customHeight="1">
      <c r="A184" s="161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</row>
    <row r="185" spans="1:26" ht="14.25" customHeight="1">
      <c r="A185" s="161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</row>
    <row r="186" spans="1:26" ht="14.25" customHeight="1">
      <c r="A186" s="161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</row>
    <row r="187" spans="1:26" ht="14.25" customHeight="1">
      <c r="A187" s="161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</row>
    <row r="188" spans="1:26" ht="14.25" customHeight="1">
      <c r="A188" s="161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</row>
    <row r="189" spans="1:26" ht="14.25" customHeight="1">
      <c r="A189" s="161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</row>
    <row r="190" spans="1:26" ht="14.25" customHeight="1">
      <c r="A190" s="161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</row>
    <row r="191" spans="1:26" ht="14.25" customHeight="1">
      <c r="A191" s="161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</row>
    <row r="192" spans="1:26" ht="14.25" customHeight="1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</row>
    <row r="193" spans="1:26" ht="14.25" customHeight="1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</row>
    <row r="194" spans="1:26" ht="14.25" customHeight="1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</row>
    <row r="195" spans="1:26" ht="14.25" customHeight="1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</row>
    <row r="196" spans="1:26" ht="14.25" customHeight="1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</row>
    <row r="197" spans="1:26" ht="14.25" customHeight="1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</row>
    <row r="198" spans="1:26" ht="14.25" customHeight="1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</row>
    <row r="199" spans="1:26" ht="14.25" customHeight="1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</row>
    <row r="200" spans="1:26" ht="14.25" customHeight="1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</row>
    <row r="201" spans="1:26" ht="14.25" customHeight="1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</row>
    <row r="202" spans="1:26" ht="14.25" customHeight="1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</row>
    <row r="203" spans="1:26" ht="14.25" customHeight="1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</row>
    <row r="204" spans="1:26" ht="14.25" customHeight="1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</row>
    <row r="205" spans="1:26" ht="14.25" customHeight="1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</row>
    <row r="206" spans="1:26" ht="14.25" customHeight="1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</row>
    <row r="207" spans="1:26" ht="14.25" customHeight="1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</row>
    <row r="208" spans="1:26" ht="14.25" customHeight="1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</row>
    <row r="209" spans="1:26" ht="14.25" customHeight="1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</row>
    <row r="210" spans="1:26" ht="14.25" customHeight="1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</row>
    <row r="211" spans="1:26" ht="14.25" customHeight="1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</row>
    <row r="212" spans="1:26" ht="14.25" customHeight="1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</row>
    <row r="213" spans="1:26" ht="14.25" customHeight="1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</row>
    <row r="214" spans="1:26" ht="14.25" customHeight="1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</row>
    <row r="215" spans="1:26" ht="14.25" customHeight="1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</row>
    <row r="216" spans="1:26" ht="14.25" customHeight="1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</row>
    <row r="217" spans="1:26" ht="14.25" customHeight="1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</row>
    <row r="218" spans="1:26" ht="14.25" customHeight="1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</row>
    <row r="219" spans="1:26" ht="14.25" customHeight="1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</row>
    <row r="220" spans="1:26" ht="14.25" customHeight="1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</row>
    <row r="221" spans="1:26" ht="14.25" customHeight="1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</row>
    <row r="222" spans="1:26" ht="14.25" customHeight="1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</row>
    <row r="223" spans="1:26" ht="14.25" customHeight="1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</row>
    <row r="224" spans="1:26" ht="14.25" customHeight="1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</row>
    <row r="225" spans="1:26" ht="14.25" customHeight="1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</row>
    <row r="226" spans="1:26" ht="14.25" customHeight="1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</row>
    <row r="227" spans="1:26" ht="14.25" customHeight="1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</row>
    <row r="228" spans="1:26" ht="14.25" customHeight="1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</row>
    <row r="229" spans="1:26" ht="14.25" customHeight="1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</row>
    <row r="230" spans="1:26" ht="14.25" customHeight="1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</row>
    <row r="231" spans="1:26" ht="14.25" customHeight="1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</row>
    <row r="232" spans="1:26" ht="14.25" customHeight="1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</row>
    <row r="233" spans="1:26" ht="14.25" customHeight="1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</row>
    <row r="234" spans="1:26" ht="14.25" customHeight="1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</row>
    <row r="235" spans="1:26" ht="14.25" customHeight="1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</row>
    <row r="236" spans="1:26" ht="14.25" customHeight="1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</row>
    <row r="237" spans="1:26" ht="14.25" customHeight="1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</row>
    <row r="238" spans="1:26" ht="14.25" customHeight="1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</row>
    <row r="239" spans="1:26" ht="14.25" customHeight="1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</row>
    <row r="240" spans="1:26" ht="14.25" customHeight="1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</row>
    <row r="241" spans="1:26" ht="14.25" customHeight="1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</row>
    <row r="242" spans="1:26" ht="14.25" customHeight="1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</row>
    <row r="243" spans="1:26" ht="14.25" customHeight="1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</row>
    <row r="244" spans="1:26" ht="14.25" customHeight="1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</row>
    <row r="245" spans="1:26" ht="14.25" customHeight="1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</row>
    <row r="246" spans="1:26" ht="14.25" customHeight="1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</row>
    <row r="247" spans="1:26" ht="14.25" customHeight="1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</row>
    <row r="248" spans="1:26" ht="14.25" customHeight="1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</row>
    <row r="249" spans="1:26" ht="14.25" customHeight="1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</row>
    <row r="250" spans="1:26" ht="14.25" customHeight="1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</row>
    <row r="251" spans="1:26" ht="14.25" customHeight="1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</row>
    <row r="252" spans="1:26" ht="14.25" customHeight="1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</row>
    <row r="253" spans="1:26" ht="14.25" customHeight="1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</row>
    <row r="254" spans="1:26" ht="14.25" customHeight="1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</row>
    <row r="255" spans="1:26" ht="14.25" customHeight="1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</row>
    <row r="256" spans="1:26" ht="14.25" customHeight="1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</row>
    <row r="257" spans="1:26" ht="14.25" customHeight="1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</row>
    <row r="258" spans="1:26" ht="14.25" customHeight="1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</row>
    <row r="259" spans="1:26" ht="14.25" customHeight="1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</row>
    <row r="260" spans="1:26" ht="14.25" customHeight="1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</row>
    <row r="261" spans="1:26" ht="14.25" customHeight="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</row>
    <row r="262" spans="1:26" ht="14.25" customHeight="1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</row>
    <row r="263" spans="1:26" ht="14.25" customHeight="1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</row>
    <row r="264" spans="1:26" ht="14.25" customHeight="1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</row>
    <row r="265" spans="1:26" ht="14.25" customHeight="1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</row>
    <row r="266" spans="1:26" ht="14.25" customHeight="1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</row>
    <row r="267" spans="1:26" ht="14.25" customHeight="1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</row>
    <row r="268" spans="1:26" ht="14.25" customHeight="1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</row>
    <row r="269" spans="1:26" ht="14.25" customHeight="1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</row>
    <row r="270" spans="1:26" ht="14.25" customHeight="1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</row>
    <row r="271" spans="1:26" ht="14.25" customHeight="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</row>
    <row r="272" spans="1:26" ht="14.25" customHeight="1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</row>
    <row r="273" spans="1:26" ht="14.25" customHeight="1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</row>
    <row r="274" spans="1:26" ht="14.25" customHeight="1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</row>
    <row r="275" spans="1:26" ht="14.25" customHeight="1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</row>
    <row r="276" spans="1:26" ht="14.25" customHeight="1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</row>
    <row r="277" spans="1:26" ht="14.25" customHeight="1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</row>
    <row r="278" spans="1:26" ht="14.25" customHeight="1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</row>
    <row r="279" spans="1:26" ht="14.25" customHeight="1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</row>
    <row r="280" spans="1:26" ht="14.25" customHeight="1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</row>
    <row r="281" spans="1:26" ht="14.25" customHeight="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</row>
    <row r="282" spans="1:26" ht="14.25" customHeight="1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</row>
    <row r="283" spans="1:26" ht="14.25" customHeight="1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</row>
    <row r="284" spans="1:26" ht="14.25" customHeight="1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</row>
    <row r="285" spans="1:26" ht="14.25" customHeight="1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</row>
    <row r="286" spans="1:26" ht="14.25" customHeight="1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</row>
    <row r="287" spans="1:26" ht="14.25" customHeight="1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</row>
    <row r="288" spans="1:26" ht="14.25" customHeight="1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</row>
    <row r="289" spans="1:26" ht="14.25" customHeight="1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</row>
    <row r="290" spans="1:26" ht="14.25" customHeight="1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</row>
    <row r="291" spans="1:26" ht="14.25" customHeight="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</row>
    <row r="292" spans="1:26" ht="14.25" customHeight="1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</row>
    <row r="293" spans="1:26" ht="14.25" customHeight="1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</row>
    <row r="294" spans="1:26" ht="14.25" customHeight="1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</row>
    <row r="295" spans="1:26" ht="14.25" customHeight="1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</row>
    <row r="296" spans="1:26" ht="14.25" customHeight="1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</row>
    <row r="297" spans="1:26" ht="14.25" customHeight="1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</row>
    <row r="298" spans="1:26" ht="14.25" customHeight="1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</row>
    <row r="299" spans="1:26" ht="14.25" customHeight="1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</row>
    <row r="300" spans="1:26" ht="14.25" customHeight="1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</row>
    <row r="301" spans="1:26" ht="14.25" customHeight="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</row>
    <row r="302" spans="1:26" ht="14.25" customHeight="1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</row>
    <row r="303" spans="1:26" ht="14.25" customHeight="1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</row>
    <row r="304" spans="1:26" ht="14.25" customHeight="1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</row>
    <row r="305" spans="1:26" ht="14.25" customHeight="1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</row>
    <row r="306" spans="1:26" ht="14.25" customHeight="1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</row>
    <row r="307" spans="1:26" ht="14.25" customHeight="1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</row>
    <row r="308" spans="1:26" ht="14.25" customHeight="1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</row>
    <row r="309" spans="1:26" ht="14.25" customHeight="1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</row>
    <row r="310" spans="1:26" ht="14.25" customHeight="1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</row>
    <row r="311" spans="1:26" ht="14.25" customHeight="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</row>
    <row r="312" spans="1:26" ht="14.25" customHeight="1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</row>
    <row r="313" spans="1:26" ht="14.25" customHeight="1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</row>
    <row r="314" spans="1:26" ht="14.25" customHeight="1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</row>
    <row r="315" spans="1:26" ht="14.25" customHeight="1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</row>
    <row r="316" spans="1:26" ht="14.25" customHeight="1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</row>
    <row r="317" spans="1:26" ht="14.25" customHeight="1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</row>
    <row r="318" spans="1:26" ht="14.25" customHeight="1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</row>
    <row r="319" spans="1:26" ht="14.25" customHeight="1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</row>
    <row r="320" spans="1:26" ht="14.25" customHeight="1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</row>
    <row r="321" spans="1:26" ht="14.25" customHeight="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</row>
    <row r="322" spans="1:26" ht="14.25" customHeight="1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</row>
    <row r="323" spans="1:26" ht="14.25" customHeight="1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</row>
    <row r="324" spans="1:26" ht="14.25" customHeight="1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</row>
    <row r="325" spans="1:26" ht="14.25" customHeight="1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</row>
    <row r="326" spans="1:26" ht="14.25" customHeight="1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</row>
    <row r="327" spans="1:26" ht="14.25" customHeight="1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</row>
    <row r="328" spans="1:26" ht="14.25" customHeight="1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</row>
    <row r="329" spans="1:26" ht="14.25" customHeight="1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</row>
    <row r="330" spans="1:26" ht="14.25" customHeight="1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</row>
    <row r="331" spans="1:26" ht="14.25" customHeight="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</row>
    <row r="332" spans="1:26" ht="14.25" customHeight="1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</row>
    <row r="333" spans="1:26" ht="14.25" customHeight="1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</row>
    <row r="334" spans="1:26" ht="14.25" customHeight="1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</row>
    <row r="335" spans="1:26" ht="14.25" customHeight="1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</row>
    <row r="336" spans="1:26" ht="14.25" customHeight="1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</row>
    <row r="337" spans="1:26" ht="14.25" customHeight="1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</row>
    <row r="338" spans="1:26" ht="14.25" customHeight="1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</row>
    <row r="339" spans="1:26" ht="14.25" customHeight="1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</row>
    <row r="340" spans="1:26" ht="14.25" customHeight="1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</row>
    <row r="341" spans="1:26" ht="14.25" customHeight="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</row>
    <row r="342" spans="1:26" ht="14.25" customHeight="1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</row>
    <row r="343" spans="1:26" ht="14.25" customHeight="1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</row>
    <row r="344" spans="1:26" ht="14.25" customHeight="1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</row>
    <row r="345" spans="1:26" ht="14.25" customHeight="1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</row>
    <row r="346" spans="1:26" ht="14.25" customHeight="1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</row>
    <row r="347" spans="1:26" ht="14.25" customHeight="1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</row>
    <row r="348" spans="1:26" ht="14.25" customHeight="1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</row>
    <row r="349" spans="1:26" ht="14.25" customHeight="1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</row>
    <row r="350" spans="1:26" ht="14.25" customHeight="1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</row>
    <row r="351" spans="1:26" ht="14.25" customHeight="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</row>
    <row r="352" spans="1:26" ht="14.25" customHeight="1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</row>
    <row r="353" spans="1:26" ht="14.25" customHeight="1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</row>
    <row r="354" spans="1:26" ht="14.25" customHeight="1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</row>
    <row r="355" spans="1:26" ht="14.25" customHeight="1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</row>
    <row r="356" spans="1:26" ht="14.25" customHeight="1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</row>
    <row r="357" spans="1:26" ht="14.25" customHeight="1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</row>
    <row r="358" spans="1:26" ht="14.25" customHeight="1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</row>
    <row r="359" spans="1:26" ht="14.25" customHeight="1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</row>
    <row r="360" spans="1:26" ht="14.25" customHeight="1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</row>
    <row r="361" spans="1:26" ht="14.25" customHeight="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</row>
    <row r="362" spans="1:26" ht="14.25" customHeight="1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</row>
    <row r="363" spans="1:26" ht="14.25" customHeight="1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</row>
    <row r="364" spans="1:26" ht="14.25" customHeight="1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</row>
    <row r="365" spans="1:26" ht="14.25" customHeight="1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</row>
    <row r="366" spans="1:26" ht="14.25" customHeight="1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</row>
    <row r="367" spans="1:26" ht="14.25" customHeight="1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</row>
    <row r="368" spans="1:26" ht="14.25" customHeight="1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</row>
    <row r="369" spans="1:26" ht="14.25" customHeight="1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</row>
    <row r="370" spans="1:26" ht="14.25" customHeight="1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</row>
    <row r="371" spans="1:26" ht="14.25" customHeight="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</row>
    <row r="372" spans="1:26" ht="14.25" customHeight="1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</row>
    <row r="373" spans="1:26" ht="14.25" customHeight="1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</row>
    <row r="374" spans="1:26" ht="14.25" customHeight="1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</row>
    <row r="375" spans="1:26" ht="14.25" customHeight="1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</row>
    <row r="376" spans="1:26" ht="14.25" customHeight="1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</row>
    <row r="377" spans="1:26" ht="14.25" customHeight="1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</row>
    <row r="378" spans="1:26" ht="14.25" customHeight="1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</row>
    <row r="379" spans="1:26" ht="14.25" customHeight="1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</row>
    <row r="380" spans="1:26" ht="14.25" customHeight="1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</row>
    <row r="381" spans="1:26" ht="14.25" customHeight="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</row>
    <row r="382" spans="1:26" ht="14.25" customHeight="1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</row>
    <row r="383" spans="1:26" ht="14.25" customHeight="1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</row>
    <row r="384" spans="1:26" ht="14.25" customHeight="1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</row>
    <row r="385" spans="1:26" ht="14.25" customHeight="1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</row>
    <row r="386" spans="1:26" ht="14.25" customHeight="1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</row>
    <row r="387" spans="1:26" ht="14.25" customHeight="1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</row>
    <row r="388" spans="1:26" ht="14.25" customHeight="1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</row>
    <row r="389" spans="1:26" ht="14.25" customHeight="1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</row>
    <row r="390" spans="1:26" ht="14.25" customHeight="1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</row>
    <row r="391" spans="1:26" ht="14.25" customHeight="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</row>
    <row r="392" spans="1:26" ht="14.25" customHeight="1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</row>
    <row r="393" spans="1:26" ht="14.25" customHeight="1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</row>
    <row r="394" spans="1:26" ht="14.25" customHeight="1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</row>
    <row r="395" spans="1:26" ht="14.25" customHeight="1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</row>
    <row r="396" spans="1:26" ht="14.25" customHeight="1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</row>
    <row r="397" spans="1:26" ht="14.25" customHeight="1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</row>
    <row r="398" spans="1:26" ht="14.25" customHeight="1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</row>
    <row r="399" spans="1:26" ht="14.25" customHeight="1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</row>
    <row r="400" spans="1:26" ht="14.25" customHeight="1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</row>
    <row r="401" spans="1:26" ht="14.25" customHeight="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</row>
    <row r="402" spans="1:26" ht="14.25" customHeight="1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</row>
    <row r="403" spans="1:26" ht="14.25" customHeight="1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</row>
    <row r="404" spans="1:26" ht="14.25" customHeight="1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</row>
    <row r="405" spans="1:26" ht="14.25" customHeight="1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</row>
    <row r="406" spans="1:26" ht="14.25" customHeight="1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</row>
    <row r="407" spans="1:26" ht="14.25" customHeight="1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</row>
    <row r="408" spans="1:26" ht="14.25" customHeight="1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</row>
    <row r="409" spans="1:26" ht="14.25" customHeight="1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</row>
    <row r="410" spans="1:26" ht="14.25" customHeight="1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</row>
    <row r="411" spans="1:26" ht="14.25" customHeight="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</row>
    <row r="412" spans="1:26" ht="14.25" customHeight="1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</row>
    <row r="413" spans="1:26" ht="14.25" customHeight="1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</row>
    <row r="414" spans="1:26" ht="14.25" customHeight="1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</row>
    <row r="415" spans="1:26" ht="14.25" customHeight="1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</row>
    <row r="416" spans="1:26" ht="14.25" customHeight="1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</row>
    <row r="417" spans="1:26" ht="14.25" customHeight="1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</row>
    <row r="418" spans="1:26" ht="14.25" customHeight="1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</row>
    <row r="419" spans="1:26" ht="14.25" customHeight="1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</row>
    <row r="420" spans="1:26" ht="14.25" customHeight="1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</row>
    <row r="421" spans="1:26" ht="14.25" customHeight="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</row>
    <row r="422" spans="1:26" ht="14.25" customHeight="1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</row>
    <row r="423" spans="1:26" ht="14.25" customHeight="1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</row>
    <row r="424" spans="1:26" ht="14.25" customHeight="1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</row>
    <row r="425" spans="1:26" ht="14.25" customHeight="1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</row>
    <row r="426" spans="1:26" ht="14.25" customHeight="1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</row>
    <row r="427" spans="1:26" ht="14.25" customHeight="1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</row>
    <row r="428" spans="1:26" ht="14.25" customHeight="1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</row>
    <row r="429" spans="1:26" ht="14.25" customHeight="1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</row>
    <row r="430" spans="1:26" ht="14.25" customHeight="1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</row>
    <row r="431" spans="1:26" ht="14.25" customHeight="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</row>
    <row r="432" spans="1:26" ht="14.25" customHeight="1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</row>
    <row r="433" spans="1:26" ht="14.25" customHeight="1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</row>
    <row r="434" spans="1:26" ht="14.25" customHeight="1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</row>
    <row r="435" spans="1:26" ht="14.25" customHeight="1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</row>
    <row r="436" spans="1:26" ht="14.25" customHeight="1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</row>
    <row r="437" spans="1:26" ht="14.25" customHeight="1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</row>
    <row r="438" spans="1:26" ht="14.25" customHeight="1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</row>
    <row r="439" spans="1:26" ht="14.25" customHeight="1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</row>
    <row r="440" spans="1:26" ht="14.25" customHeight="1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</row>
    <row r="441" spans="1:26" ht="14.25" customHeight="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</row>
    <row r="442" spans="1:26" ht="14.25" customHeight="1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</row>
    <row r="443" spans="1:26" ht="14.25" customHeight="1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</row>
    <row r="444" spans="1:26" ht="14.25" customHeight="1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</row>
    <row r="445" spans="1:26" ht="14.25" customHeight="1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</row>
    <row r="446" spans="1:26" ht="14.25" customHeight="1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</row>
    <row r="447" spans="1:26" ht="14.25" customHeight="1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</row>
    <row r="448" spans="1:26" ht="14.25" customHeight="1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</row>
    <row r="449" spans="1:26" ht="14.25" customHeight="1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</row>
    <row r="450" spans="1:26" ht="14.25" customHeight="1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</row>
    <row r="451" spans="1:26" ht="14.25" customHeight="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</row>
    <row r="452" spans="1:26" ht="14.25" customHeight="1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</row>
    <row r="453" spans="1:26" ht="14.25" customHeight="1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</row>
    <row r="454" spans="1:26" ht="14.25" customHeight="1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</row>
    <row r="455" spans="1:26" ht="14.25" customHeight="1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</row>
    <row r="456" spans="1:26" ht="14.25" customHeight="1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</row>
    <row r="457" spans="1:26" ht="14.25" customHeight="1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</row>
    <row r="458" spans="1:26" ht="14.25" customHeight="1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</row>
    <row r="459" spans="1:26" ht="14.25" customHeight="1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</row>
    <row r="460" spans="1:26" ht="14.25" customHeight="1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</row>
    <row r="461" spans="1:26" ht="14.25" customHeight="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</row>
    <row r="462" spans="1:26" ht="14.25" customHeight="1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</row>
    <row r="463" spans="1:26" ht="14.25" customHeight="1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</row>
    <row r="464" spans="1:26" ht="14.25" customHeight="1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</row>
    <row r="465" spans="1:26" ht="14.25" customHeight="1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</row>
    <row r="466" spans="1:26" ht="14.25" customHeight="1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</row>
    <row r="467" spans="1:26" ht="14.25" customHeight="1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</row>
    <row r="468" spans="1:26" ht="14.25" customHeight="1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</row>
    <row r="469" spans="1:26" ht="14.25" customHeight="1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</row>
    <row r="470" spans="1:26" ht="14.25" customHeight="1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</row>
    <row r="471" spans="1:26" ht="14.25" customHeight="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</row>
    <row r="472" spans="1:26" ht="14.25" customHeight="1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</row>
    <row r="473" spans="1:26" ht="14.25" customHeight="1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</row>
    <row r="474" spans="1:26" ht="14.25" customHeight="1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</row>
    <row r="475" spans="1:26" ht="14.25" customHeight="1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</row>
    <row r="476" spans="1:26" ht="14.25" customHeight="1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</row>
    <row r="477" spans="1:26" ht="14.25" customHeight="1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</row>
    <row r="478" spans="1:26" ht="14.25" customHeight="1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</row>
    <row r="479" spans="1:26" ht="14.25" customHeight="1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</row>
    <row r="480" spans="1:26" ht="14.25" customHeight="1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</row>
    <row r="481" spans="1:26" ht="14.25" customHeight="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</row>
    <row r="482" spans="1:26" ht="14.25" customHeight="1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</row>
    <row r="483" spans="1:26" ht="14.25" customHeight="1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</row>
    <row r="484" spans="1:26" ht="14.25" customHeight="1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</row>
    <row r="485" spans="1:26" ht="14.25" customHeight="1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</row>
    <row r="486" spans="1:26" ht="14.25" customHeight="1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</row>
    <row r="487" spans="1:26" ht="14.25" customHeight="1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</row>
    <row r="488" spans="1:26" ht="14.25" customHeight="1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</row>
    <row r="489" spans="1:26" ht="14.25" customHeight="1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</row>
    <row r="490" spans="1:26" ht="14.25" customHeight="1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</row>
    <row r="491" spans="1:26" ht="14.25" customHeight="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</row>
    <row r="492" spans="1:26" ht="14.25" customHeight="1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</row>
    <row r="493" spans="1:26" ht="14.25" customHeight="1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</row>
    <row r="494" spans="1:26" ht="14.25" customHeight="1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</row>
    <row r="495" spans="1:26" ht="14.25" customHeight="1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</row>
    <row r="496" spans="1:26" ht="14.25" customHeight="1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</row>
    <row r="497" spans="1:26" ht="14.25" customHeight="1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</row>
    <row r="498" spans="1:26" ht="14.25" customHeight="1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</row>
    <row r="499" spans="1:26" ht="14.25" customHeight="1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</row>
    <row r="500" spans="1:26" ht="14.25" customHeight="1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</row>
    <row r="501" spans="1:26" ht="14.25" customHeight="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</row>
    <row r="502" spans="1:26" ht="14.25" customHeight="1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</row>
    <row r="503" spans="1:26" ht="14.25" customHeight="1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</row>
    <row r="504" spans="1:26" ht="14.25" customHeight="1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</row>
    <row r="505" spans="1:26" ht="14.25" customHeight="1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</row>
    <row r="506" spans="1:26" ht="14.25" customHeight="1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</row>
    <row r="507" spans="1:26" ht="14.25" customHeight="1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</row>
    <row r="508" spans="1:26" ht="14.25" customHeight="1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</row>
    <row r="509" spans="1:26" ht="14.25" customHeight="1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</row>
    <row r="510" spans="1:26" ht="14.25" customHeight="1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</row>
    <row r="511" spans="1:26" ht="14.25" customHeight="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</row>
    <row r="512" spans="1:26" ht="14.25" customHeight="1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</row>
    <row r="513" spans="1:26" ht="14.25" customHeight="1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</row>
    <row r="514" spans="1:26" ht="14.25" customHeight="1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</row>
    <row r="515" spans="1:26" ht="14.25" customHeight="1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</row>
    <row r="516" spans="1:26" ht="14.25" customHeight="1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</row>
    <row r="517" spans="1:26" ht="14.25" customHeight="1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</row>
    <row r="518" spans="1:26" ht="14.25" customHeight="1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</row>
    <row r="519" spans="1:26" ht="14.25" customHeight="1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</row>
    <row r="520" spans="1:26" ht="14.25" customHeight="1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</row>
    <row r="521" spans="1:26" ht="14.25" customHeight="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</row>
    <row r="522" spans="1:26" ht="14.25" customHeight="1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</row>
    <row r="523" spans="1:26" ht="14.25" customHeight="1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</row>
    <row r="524" spans="1:26" ht="14.25" customHeight="1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</row>
    <row r="525" spans="1:26" ht="14.25" customHeight="1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</row>
    <row r="526" spans="1:26" ht="14.25" customHeight="1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</row>
    <row r="527" spans="1:26" ht="14.25" customHeight="1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</row>
    <row r="528" spans="1:26" ht="14.25" customHeight="1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</row>
    <row r="529" spans="1:26" ht="14.25" customHeight="1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</row>
    <row r="530" spans="1:26" ht="14.25" customHeight="1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</row>
    <row r="531" spans="1:26" ht="14.25" customHeight="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</row>
    <row r="532" spans="1:26" ht="14.25" customHeight="1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</row>
    <row r="533" spans="1:26" ht="14.25" customHeight="1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</row>
    <row r="534" spans="1:26" ht="14.25" customHeight="1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</row>
    <row r="535" spans="1:26" ht="14.25" customHeight="1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</row>
    <row r="536" spans="1:26" ht="14.25" customHeight="1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</row>
    <row r="537" spans="1:26" ht="14.25" customHeight="1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</row>
    <row r="538" spans="1:26" ht="14.25" customHeight="1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</row>
    <row r="539" spans="1:26" ht="14.25" customHeight="1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</row>
    <row r="540" spans="1:26" ht="14.25" customHeight="1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</row>
    <row r="541" spans="1:26" ht="14.25" customHeight="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</row>
    <row r="542" spans="1:26" ht="14.25" customHeight="1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</row>
    <row r="543" spans="1:26" ht="14.25" customHeight="1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</row>
    <row r="544" spans="1:26" ht="14.25" customHeight="1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</row>
    <row r="545" spans="1:26" ht="14.25" customHeight="1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</row>
    <row r="546" spans="1:26" ht="14.25" customHeight="1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</row>
    <row r="547" spans="1:26" ht="14.25" customHeight="1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</row>
    <row r="548" spans="1:26" ht="14.25" customHeight="1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</row>
    <row r="549" spans="1:26" ht="14.25" customHeight="1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</row>
    <row r="550" spans="1:26" ht="14.25" customHeight="1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</row>
    <row r="551" spans="1:26" ht="14.25" customHeight="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</row>
    <row r="552" spans="1:26" ht="14.25" customHeight="1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</row>
    <row r="553" spans="1:26" ht="14.25" customHeight="1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</row>
    <row r="554" spans="1:26" ht="14.25" customHeight="1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</row>
    <row r="555" spans="1:26" ht="14.25" customHeight="1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</row>
    <row r="556" spans="1:26" ht="14.25" customHeight="1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</row>
    <row r="557" spans="1:26" ht="14.25" customHeight="1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</row>
    <row r="558" spans="1:26" ht="14.25" customHeight="1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</row>
    <row r="559" spans="1:26" ht="14.25" customHeight="1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</row>
    <row r="560" spans="1:26" ht="14.25" customHeight="1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</row>
    <row r="561" spans="1:26" ht="14.25" customHeight="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</row>
    <row r="562" spans="1:26" ht="14.25" customHeight="1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</row>
    <row r="563" spans="1:26" ht="14.25" customHeight="1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</row>
    <row r="564" spans="1:26" ht="14.25" customHeight="1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</row>
    <row r="565" spans="1:26" ht="14.25" customHeight="1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</row>
    <row r="566" spans="1:26" ht="14.25" customHeight="1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</row>
    <row r="567" spans="1:26" ht="14.25" customHeight="1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</row>
    <row r="568" spans="1:26" ht="14.25" customHeight="1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</row>
    <row r="569" spans="1:26" ht="14.25" customHeight="1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</row>
    <row r="570" spans="1:26" ht="14.25" customHeight="1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</row>
    <row r="571" spans="1:26" ht="14.25" customHeight="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</row>
    <row r="572" spans="1:26" ht="14.25" customHeight="1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</row>
    <row r="573" spans="1:26" ht="14.25" customHeight="1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</row>
    <row r="574" spans="1:26" ht="14.25" customHeight="1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</row>
    <row r="575" spans="1:26" ht="14.25" customHeight="1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</row>
    <row r="576" spans="1:26" ht="14.25" customHeight="1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</row>
    <row r="577" spans="1:26" ht="14.25" customHeight="1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</row>
    <row r="578" spans="1:26" ht="14.25" customHeight="1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</row>
    <row r="579" spans="1:26" ht="14.25" customHeight="1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</row>
    <row r="580" spans="1:26" ht="14.25" customHeight="1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</row>
    <row r="581" spans="1:26" ht="14.25" customHeight="1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</row>
    <row r="582" spans="1:26" ht="14.25" customHeight="1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</row>
    <row r="583" spans="1:26" ht="14.25" customHeight="1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</row>
    <row r="584" spans="1:26" ht="14.25" customHeight="1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</row>
    <row r="585" spans="1:26" ht="14.25" customHeight="1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</row>
    <row r="586" spans="1:26" ht="14.25" customHeight="1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</row>
    <row r="587" spans="1:26" ht="14.25" customHeight="1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</row>
    <row r="588" spans="1:26" ht="14.25" customHeight="1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</row>
    <row r="589" spans="1:26" ht="14.25" customHeight="1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</row>
    <row r="590" spans="1:26" ht="14.25" customHeight="1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</row>
    <row r="591" spans="1:26" ht="14.25" customHeight="1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</row>
    <row r="592" spans="1:26" ht="14.25" customHeight="1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</row>
    <row r="593" spans="1:26" ht="14.25" customHeight="1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</row>
    <row r="594" spans="1:26" ht="14.25" customHeight="1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</row>
    <row r="595" spans="1:26" ht="14.25" customHeight="1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</row>
    <row r="596" spans="1:26" ht="14.25" customHeight="1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</row>
    <row r="597" spans="1:26" ht="14.25" customHeight="1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</row>
    <row r="598" spans="1:26" ht="14.25" customHeight="1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</row>
    <row r="599" spans="1:26" ht="14.25" customHeight="1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</row>
    <row r="600" spans="1:26" ht="14.25" customHeight="1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</row>
    <row r="601" spans="1:26" ht="14.25" customHeight="1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</row>
    <row r="602" spans="1:26" ht="14.25" customHeight="1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</row>
    <row r="603" spans="1:26" ht="14.25" customHeight="1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</row>
    <row r="604" spans="1:26" ht="14.25" customHeight="1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</row>
    <row r="605" spans="1:26" ht="14.25" customHeight="1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</row>
    <row r="606" spans="1:26" ht="14.25" customHeight="1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</row>
    <row r="607" spans="1:26" ht="14.25" customHeight="1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</row>
    <row r="608" spans="1:26" ht="14.25" customHeight="1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</row>
    <row r="609" spans="1:26" ht="14.25" customHeight="1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</row>
    <row r="610" spans="1:26" ht="14.25" customHeight="1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</row>
    <row r="611" spans="1:26" ht="14.25" customHeight="1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</row>
    <row r="612" spans="1:26" ht="14.25" customHeight="1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</row>
    <row r="613" spans="1:26" ht="14.25" customHeight="1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</row>
    <row r="614" spans="1:26" ht="14.25" customHeight="1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</row>
    <row r="615" spans="1:26" ht="14.25" customHeight="1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</row>
    <row r="616" spans="1:26" ht="14.25" customHeight="1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</row>
    <row r="617" spans="1:26" ht="14.25" customHeight="1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</row>
    <row r="618" spans="1:26" ht="14.25" customHeight="1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</row>
    <row r="619" spans="1:26" ht="14.25" customHeight="1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</row>
    <row r="620" spans="1:26" ht="14.25" customHeight="1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</row>
    <row r="621" spans="1:26" ht="14.25" customHeight="1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</row>
    <row r="622" spans="1:26" ht="14.25" customHeight="1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</row>
    <row r="623" spans="1:26" ht="14.25" customHeight="1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</row>
    <row r="624" spans="1:26" ht="14.25" customHeight="1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</row>
    <row r="625" spans="1:26" ht="14.25" customHeight="1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</row>
    <row r="626" spans="1:26" ht="14.25" customHeight="1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</row>
    <row r="627" spans="1:26" ht="14.25" customHeight="1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</row>
    <row r="628" spans="1:26" ht="14.25" customHeight="1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</row>
    <row r="629" spans="1:26" ht="14.25" customHeight="1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</row>
    <row r="630" spans="1:26" ht="14.25" customHeight="1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</row>
    <row r="631" spans="1:26" ht="14.25" customHeight="1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</row>
    <row r="632" spans="1:26" ht="14.25" customHeight="1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</row>
    <row r="633" spans="1:26" ht="14.25" customHeight="1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</row>
    <row r="634" spans="1:26" ht="14.25" customHeight="1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</row>
    <row r="635" spans="1:26" ht="14.25" customHeight="1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</row>
    <row r="636" spans="1:26" ht="14.25" customHeight="1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</row>
    <row r="637" spans="1:26" ht="14.25" customHeight="1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</row>
    <row r="638" spans="1:26" ht="14.25" customHeight="1">
      <c r="A638" s="161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</row>
    <row r="639" spans="1:26" ht="14.25" customHeight="1">
      <c r="A639" s="161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</row>
    <row r="640" spans="1:26" ht="14.25" customHeight="1">
      <c r="A640" s="161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</row>
    <row r="641" spans="1:26" ht="14.25" customHeight="1">
      <c r="A641" s="161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</row>
    <row r="642" spans="1:26" ht="14.25" customHeight="1">
      <c r="A642" s="161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</row>
    <row r="643" spans="1:26" ht="14.25" customHeight="1">
      <c r="A643" s="161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</row>
    <row r="644" spans="1:26" ht="14.25" customHeight="1">
      <c r="A644" s="161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</row>
    <row r="645" spans="1:26" ht="14.25" customHeight="1">
      <c r="A645" s="161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</row>
    <row r="646" spans="1:26" ht="14.25" customHeight="1">
      <c r="A646" s="161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</row>
    <row r="647" spans="1:26" ht="14.25" customHeight="1">
      <c r="A647" s="161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</row>
    <row r="648" spans="1:26" ht="14.25" customHeight="1">
      <c r="A648" s="161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</row>
    <row r="649" spans="1:26" ht="14.25" customHeight="1">
      <c r="A649" s="161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</row>
    <row r="650" spans="1:26" ht="14.25" customHeight="1">
      <c r="A650" s="161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</row>
    <row r="651" spans="1:26" ht="14.25" customHeight="1">
      <c r="A651" s="161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</row>
    <row r="652" spans="1:26" ht="14.25" customHeight="1">
      <c r="A652" s="161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</row>
    <row r="653" spans="1:26" ht="14.25" customHeight="1">
      <c r="A653" s="161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</row>
    <row r="654" spans="1:26" ht="14.25" customHeight="1">
      <c r="A654" s="161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</row>
    <row r="655" spans="1:26" ht="14.25" customHeight="1">
      <c r="A655" s="161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</row>
    <row r="656" spans="1:26" ht="14.25" customHeight="1">
      <c r="A656" s="161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</row>
    <row r="657" spans="1:26" ht="14.25" customHeight="1">
      <c r="A657" s="161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</row>
    <row r="658" spans="1:26" ht="14.25" customHeight="1">
      <c r="A658" s="161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</row>
    <row r="659" spans="1:26" ht="14.25" customHeight="1">
      <c r="A659" s="161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</row>
    <row r="660" spans="1:26" ht="14.25" customHeight="1">
      <c r="A660" s="161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</row>
    <row r="661" spans="1:26" ht="14.25" customHeight="1">
      <c r="A661" s="161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</row>
    <row r="662" spans="1:26" ht="14.25" customHeight="1">
      <c r="A662" s="161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</row>
    <row r="663" spans="1:26" ht="14.25" customHeight="1">
      <c r="A663" s="161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</row>
    <row r="664" spans="1:26" ht="14.25" customHeight="1">
      <c r="A664" s="161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</row>
    <row r="665" spans="1:26" ht="14.25" customHeight="1">
      <c r="A665" s="161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</row>
    <row r="666" spans="1:26" ht="14.25" customHeight="1">
      <c r="A666" s="161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</row>
    <row r="667" spans="1:26" ht="14.25" customHeight="1">
      <c r="A667" s="161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</row>
    <row r="668" spans="1:26" ht="14.25" customHeight="1">
      <c r="A668" s="161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</row>
    <row r="669" spans="1:26" ht="14.25" customHeight="1">
      <c r="A669" s="161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</row>
    <row r="670" spans="1:26" ht="14.25" customHeight="1">
      <c r="A670" s="161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</row>
    <row r="671" spans="1:26" ht="14.25" customHeight="1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</row>
    <row r="672" spans="1:26" ht="14.25" customHeight="1">
      <c r="A672" s="161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</row>
    <row r="673" spans="1:26" ht="14.25" customHeight="1">
      <c r="A673" s="161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</row>
    <row r="674" spans="1:26" ht="14.25" customHeight="1">
      <c r="A674" s="161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</row>
    <row r="675" spans="1:26" ht="14.25" customHeight="1">
      <c r="A675" s="161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</row>
    <row r="676" spans="1:26" ht="14.25" customHeight="1">
      <c r="A676" s="161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</row>
    <row r="677" spans="1:26" ht="14.25" customHeight="1">
      <c r="A677" s="161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</row>
    <row r="678" spans="1:26" ht="14.25" customHeight="1">
      <c r="A678" s="161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</row>
    <row r="679" spans="1:26" ht="14.25" customHeight="1">
      <c r="A679" s="161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</row>
    <row r="680" spans="1:26" ht="14.25" customHeight="1">
      <c r="A680" s="161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</row>
    <row r="681" spans="1:26" ht="14.25" customHeight="1">
      <c r="A681" s="161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</row>
    <row r="682" spans="1:26" ht="14.25" customHeight="1">
      <c r="A682" s="161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</row>
    <row r="683" spans="1:26" ht="14.25" customHeight="1">
      <c r="A683" s="161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</row>
    <row r="684" spans="1:26" ht="14.25" customHeight="1">
      <c r="A684" s="161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</row>
    <row r="685" spans="1:26" ht="14.25" customHeight="1">
      <c r="A685" s="161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</row>
    <row r="686" spans="1:26" ht="14.25" customHeight="1">
      <c r="A686" s="161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</row>
    <row r="687" spans="1:26" ht="14.25" customHeight="1">
      <c r="A687" s="161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</row>
    <row r="688" spans="1:26" ht="14.25" customHeight="1">
      <c r="A688" s="161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</row>
    <row r="689" spans="1:26" ht="14.25" customHeight="1">
      <c r="A689" s="161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</row>
    <row r="690" spans="1:26" ht="14.25" customHeight="1">
      <c r="A690" s="161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</row>
    <row r="691" spans="1:26" ht="14.25" customHeight="1">
      <c r="A691" s="161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</row>
    <row r="692" spans="1:26" ht="14.25" customHeight="1">
      <c r="A692" s="161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</row>
    <row r="693" spans="1:26" ht="14.25" customHeight="1">
      <c r="A693" s="161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</row>
    <row r="694" spans="1:26" ht="14.25" customHeight="1">
      <c r="A694" s="161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</row>
    <row r="695" spans="1:26" ht="14.25" customHeight="1">
      <c r="A695" s="161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</row>
    <row r="696" spans="1:26" ht="14.25" customHeight="1">
      <c r="A696" s="161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</row>
    <row r="697" spans="1:26" ht="14.25" customHeight="1">
      <c r="A697" s="161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</row>
    <row r="698" spans="1:26" ht="14.25" customHeight="1">
      <c r="A698" s="161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</row>
    <row r="699" spans="1:26" ht="14.25" customHeight="1">
      <c r="A699" s="161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</row>
    <row r="700" spans="1:26" ht="14.25" customHeight="1">
      <c r="A700" s="161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</row>
    <row r="701" spans="1:26" ht="14.25" customHeight="1">
      <c r="A701" s="161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</row>
    <row r="702" spans="1:26" ht="14.25" customHeight="1">
      <c r="A702" s="161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</row>
    <row r="703" spans="1:26" ht="14.25" customHeight="1">
      <c r="A703" s="161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</row>
    <row r="704" spans="1:26" ht="14.25" customHeight="1">
      <c r="A704" s="161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</row>
    <row r="705" spans="1:26" ht="14.25" customHeight="1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</row>
    <row r="706" spans="1:26" ht="14.25" customHeight="1">
      <c r="A706" s="161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</row>
    <row r="707" spans="1:26" ht="14.25" customHeight="1">
      <c r="A707" s="161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</row>
    <row r="708" spans="1:26" ht="14.25" customHeight="1">
      <c r="A708" s="161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</row>
    <row r="709" spans="1:26" ht="14.25" customHeight="1">
      <c r="A709" s="161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</row>
    <row r="710" spans="1:26" ht="14.25" customHeight="1">
      <c r="A710" s="161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</row>
    <row r="711" spans="1:26" ht="14.25" customHeight="1">
      <c r="A711" s="161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</row>
    <row r="712" spans="1:26" ht="14.25" customHeight="1">
      <c r="A712" s="161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</row>
    <row r="713" spans="1:26" ht="14.25" customHeight="1">
      <c r="A713" s="161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</row>
    <row r="714" spans="1:26" ht="14.25" customHeight="1">
      <c r="A714" s="161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</row>
    <row r="715" spans="1:26" ht="14.25" customHeight="1">
      <c r="A715" s="161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</row>
    <row r="716" spans="1:26" ht="14.25" customHeight="1">
      <c r="A716" s="161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</row>
    <row r="717" spans="1:26" ht="14.25" customHeight="1">
      <c r="A717" s="161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</row>
    <row r="718" spans="1:26" ht="14.25" customHeight="1">
      <c r="A718" s="161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</row>
    <row r="719" spans="1:26" ht="14.25" customHeight="1">
      <c r="A719" s="161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</row>
    <row r="720" spans="1:26" ht="14.25" customHeight="1">
      <c r="A720" s="161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</row>
    <row r="721" spans="1:26" ht="14.25" customHeight="1">
      <c r="A721" s="161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</row>
    <row r="722" spans="1:26" ht="14.25" customHeight="1">
      <c r="A722" s="161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</row>
    <row r="723" spans="1:26" ht="14.25" customHeight="1">
      <c r="A723" s="161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</row>
    <row r="724" spans="1:26" ht="14.25" customHeight="1">
      <c r="A724" s="161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</row>
    <row r="725" spans="1:26" ht="14.25" customHeight="1">
      <c r="A725" s="161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</row>
    <row r="726" spans="1:26" ht="14.25" customHeight="1">
      <c r="A726" s="161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</row>
    <row r="727" spans="1:26" ht="14.25" customHeight="1">
      <c r="A727" s="161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</row>
    <row r="728" spans="1:26" ht="14.25" customHeight="1">
      <c r="A728" s="161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</row>
    <row r="729" spans="1:26" ht="14.25" customHeight="1">
      <c r="A729" s="161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</row>
    <row r="730" spans="1:26" ht="14.25" customHeight="1">
      <c r="A730" s="161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</row>
    <row r="731" spans="1:26" ht="14.25" customHeight="1">
      <c r="A731" s="161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</row>
    <row r="732" spans="1:26" ht="14.25" customHeight="1">
      <c r="A732" s="161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</row>
    <row r="733" spans="1:26" ht="14.25" customHeight="1">
      <c r="A733" s="161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</row>
    <row r="734" spans="1:26" ht="14.25" customHeight="1">
      <c r="A734" s="161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</row>
    <row r="735" spans="1:26" ht="14.25" customHeight="1">
      <c r="A735" s="161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</row>
    <row r="736" spans="1:26" ht="14.25" customHeight="1">
      <c r="A736" s="161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</row>
    <row r="737" spans="1:26" ht="14.25" customHeight="1">
      <c r="A737" s="161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</row>
    <row r="738" spans="1:26" ht="14.25" customHeight="1">
      <c r="A738" s="161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</row>
    <row r="739" spans="1:26" ht="14.25" customHeight="1">
      <c r="A739" s="161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</row>
    <row r="740" spans="1:26" ht="14.25" customHeight="1">
      <c r="A740" s="161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</row>
    <row r="741" spans="1:26" ht="14.25" customHeight="1">
      <c r="A741" s="161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</row>
    <row r="742" spans="1:26" ht="14.25" customHeight="1">
      <c r="A742" s="161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</row>
    <row r="743" spans="1:26" ht="14.25" customHeight="1">
      <c r="A743" s="161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</row>
    <row r="744" spans="1:26" ht="14.25" customHeight="1">
      <c r="A744" s="161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</row>
    <row r="745" spans="1:26" ht="14.25" customHeight="1">
      <c r="A745" s="161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</row>
    <row r="746" spans="1:26" ht="14.25" customHeight="1">
      <c r="A746" s="161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</row>
    <row r="747" spans="1:26" ht="14.25" customHeight="1">
      <c r="A747" s="161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</row>
    <row r="748" spans="1:26" ht="14.25" customHeight="1">
      <c r="A748" s="161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</row>
    <row r="749" spans="1:26" ht="14.25" customHeight="1">
      <c r="A749" s="161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</row>
    <row r="750" spans="1:26" ht="14.25" customHeight="1">
      <c r="A750" s="161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</row>
    <row r="751" spans="1:26" ht="14.25" customHeight="1">
      <c r="A751" s="161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</row>
    <row r="752" spans="1:26" ht="14.25" customHeight="1">
      <c r="A752" s="161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</row>
    <row r="753" spans="1:26" ht="14.25" customHeight="1">
      <c r="A753" s="161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</row>
    <row r="754" spans="1:26" ht="14.25" customHeight="1">
      <c r="A754" s="161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</row>
    <row r="755" spans="1:26" ht="14.25" customHeight="1">
      <c r="A755" s="161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</row>
    <row r="756" spans="1:26" ht="14.25" customHeight="1">
      <c r="A756" s="161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</row>
    <row r="757" spans="1:26" ht="14.25" customHeight="1">
      <c r="A757" s="161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</row>
    <row r="758" spans="1:26" ht="14.25" customHeight="1">
      <c r="A758" s="161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</row>
    <row r="759" spans="1:26" ht="14.25" customHeight="1">
      <c r="A759" s="161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</row>
    <row r="760" spans="1:26" ht="14.25" customHeight="1">
      <c r="A760" s="161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</row>
    <row r="761" spans="1:26" ht="14.25" customHeight="1">
      <c r="A761" s="161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</row>
    <row r="762" spans="1:26" ht="14.25" customHeight="1">
      <c r="A762" s="161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</row>
    <row r="763" spans="1:26" ht="14.25" customHeight="1">
      <c r="A763" s="161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</row>
    <row r="764" spans="1:26" ht="14.25" customHeight="1">
      <c r="A764" s="161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</row>
    <row r="765" spans="1:26" ht="14.25" customHeight="1">
      <c r="A765" s="161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</row>
    <row r="766" spans="1:26" ht="14.25" customHeight="1">
      <c r="A766" s="161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</row>
    <row r="767" spans="1:26" ht="14.25" customHeight="1">
      <c r="A767" s="161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</row>
    <row r="768" spans="1:26" ht="14.25" customHeight="1">
      <c r="A768" s="161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</row>
    <row r="769" spans="1:26" ht="14.25" customHeight="1">
      <c r="A769" s="161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</row>
    <row r="770" spans="1:26" ht="14.25" customHeight="1">
      <c r="A770" s="161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</row>
    <row r="771" spans="1:26" ht="14.25" customHeight="1">
      <c r="A771" s="161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</row>
    <row r="772" spans="1:26" ht="14.25" customHeight="1">
      <c r="A772" s="161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</row>
    <row r="773" spans="1:26" ht="14.25" customHeight="1">
      <c r="A773" s="161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</row>
    <row r="774" spans="1:26" ht="14.25" customHeight="1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</row>
    <row r="775" spans="1:26" ht="14.25" customHeight="1">
      <c r="A775" s="161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</row>
    <row r="776" spans="1:26" ht="14.25" customHeight="1">
      <c r="A776" s="161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</row>
    <row r="777" spans="1:26" ht="14.25" customHeight="1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</row>
    <row r="778" spans="1:26" ht="14.25" customHeight="1">
      <c r="A778" s="161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</row>
    <row r="779" spans="1:26" ht="14.25" customHeight="1">
      <c r="A779" s="161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</row>
    <row r="780" spans="1:26" ht="14.25" customHeight="1">
      <c r="A780" s="161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</row>
    <row r="781" spans="1:26" ht="14.25" customHeight="1">
      <c r="A781" s="161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</row>
    <row r="782" spans="1:26" ht="14.25" customHeight="1">
      <c r="A782" s="161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</row>
    <row r="783" spans="1:26" ht="14.25" customHeight="1">
      <c r="A783" s="161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</row>
    <row r="784" spans="1:26" ht="14.25" customHeight="1">
      <c r="A784" s="161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</row>
    <row r="785" spans="1:26" ht="14.25" customHeight="1">
      <c r="A785" s="161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</row>
    <row r="786" spans="1:26" ht="14.25" customHeight="1">
      <c r="A786" s="161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</row>
    <row r="787" spans="1:26" ht="14.25" customHeight="1">
      <c r="A787" s="161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</row>
    <row r="788" spans="1:26" ht="14.25" customHeight="1">
      <c r="A788" s="161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</row>
    <row r="789" spans="1:26" ht="14.25" customHeight="1">
      <c r="A789" s="161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</row>
    <row r="790" spans="1:26" ht="14.25" customHeight="1">
      <c r="A790" s="161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</row>
    <row r="791" spans="1:26" ht="14.25" customHeight="1">
      <c r="A791" s="161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</row>
    <row r="792" spans="1:26" ht="14.25" customHeight="1">
      <c r="A792" s="161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</row>
    <row r="793" spans="1:26" ht="14.25" customHeight="1">
      <c r="A793" s="161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</row>
    <row r="794" spans="1:26" ht="14.25" customHeight="1">
      <c r="A794" s="161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</row>
    <row r="795" spans="1:26" ht="14.25" customHeight="1">
      <c r="A795" s="161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</row>
    <row r="796" spans="1:26" ht="14.25" customHeight="1">
      <c r="A796" s="161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</row>
    <row r="797" spans="1:26" ht="14.25" customHeight="1">
      <c r="A797" s="161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</row>
    <row r="798" spans="1:26" ht="14.25" customHeight="1">
      <c r="A798" s="161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</row>
    <row r="799" spans="1:26" ht="14.25" customHeight="1">
      <c r="A799" s="161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</row>
    <row r="800" spans="1:26" ht="14.25" customHeight="1">
      <c r="A800" s="161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</row>
    <row r="801" spans="1:26" ht="14.25" customHeight="1">
      <c r="A801" s="161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</row>
    <row r="802" spans="1:26" ht="14.25" customHeight="1">
      <c r="A802" s="161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</row>
    <row r="803" spans="1:26" ht="14.25" customHeight="1">
      <c r="A803" s="161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</row>
    <row r="804" spans="1:26" ht="14.25" customHeight="1">
      <c r="A804" s="161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</row>
    <row r="805" spans="1:26" ht="14.25" customHeight="1">
      <c r="A805" s="161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</row>
    <row r="806" spans="1:26" ht="14.25" customHeight="1">
      <c r="A806" s="161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</row>
    <row r="807" spans="1:26" ht="14.25" customHeight="1">
      <c r="A807" s="161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</row>
    <row r="808" spans="1:26" ht="14.25" customHeight="1">
      <c r="A808" s="161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</row>
    <row r="809" spans="1:26" ht="14.25" customHeight="1">
      <c r="A809" s="161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</row>
    <row r="810" spans="1:26" ht="14.25" customHeight="1">
      <c r="A810" s="161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</row>
    <row r="811" spans="1:26" ht="14.25" customHeight="1">
      <c r="A811" s="161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</row>
    <row r="812" spans="1:26" ht="14.25" customHeight="1">
      <c r="A812" s="161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</row>
    <row r="813" spans="1:26" ht="14.25" customHeight="1">
      <c r="A813" s="161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</row>
    <row r="814" spans="1:26" ht="14.25" customHeight="1">
      <c r="A814" s="161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</row>
    <row r="815" spans="1:26" ht="14.25" customHeight="1">
      <c r="A815" s="161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</row>
    <row r="816" spans="1:26" ht="14.25" customHeight="1">
      <c r="A816" s="161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</row>
    <row r="817" spans="1:26" ht="14.25" customHeight="1">
      <c r="A817" s="161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</row>
    <row r="818" spans="1:26" ht="14.25" customHeight="1">
      <c r="A818" s="161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</row>
    <row r="819" spans="1:26" ht="14.25" customHeight="1">
      <c r="A819" s="16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</row>
    <row r="820" spans="1:26" ht="14.25" customHeight="1">
      <c r="A820" s="161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</row>
    <row r="821" spans="1:26" ht="14.25" customHeight="1">
      <c r="A821" s="161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</row>
    <row r="822" spans="1:26" ht="14.25" customHeight="1">
      <c r="A822" s="161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</row>
    <row r="823" spans="1:26" ht="14.25" customHeight="1">
      <c r="A823" s="161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</row>
    <row r="824" spans="1:26" ht="14.25" customHeight="1">
      <c r="A824" s="161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</row>
    <row r="825" spans="1:26" ht="14.25" customHeight="1">
      <c r="A825" s="161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</row>
    <row r="826" spans="1:26" ht="14.25" customHeight="1">
      <c r="A826" s="161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</row>
    <row r="827" spans="1:26" ht="14.25" customHeight="1">
      <c r="A827" s="161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</row>
    <row r="828" spans="1:26" ht="14.25" customHeight="1">
      <c r="A828" s="161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</row>
    <row r="829" spans="1:26" ht="14.25" customHeight="1">
      <c r="A829" s="161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</row>
    <row r="830" spans="1:26" ht="14.25" customHeight="1">
      <c r="A830" s="161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</row>
    <row r="831" spans="1:26" ht="14.25" customHeight="1">
      <c r="A831" s="161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</row>
    <row r="832" spans="1:26" ht="14.25" customHeight="1">
      <c r="A832" s="161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</row>
    <row r="833" spans="1:26" ht="14.25" customHeight="1">
      <c r="A833" s="161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</row>
    <row r="834" spans="1:26" ht="14.25" customHeight="1">
      <c r="A834" s="161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</row>
    <row r="835" spans="1:26" ht="14.25" customHeight="1">
      <c r="A835" s="161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</row>
    <row r="836" spans="1:26" ht="14.25" customHeight="1">
      <c r="A836" s="161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</row>
    <row r="837" spans="1:26" ht="14.25" customHeight="1">
      <c r="A837" s="161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</row>
    <row r="838" spans="1:26" ht="14.25" customHeight="1">
      <c r="A838" s="161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</row>
    <row r="839" spans="1:26" ht="14.25" customHeight="1">
      <c r="A839" s="161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</row>
    <row r="840" spans="1:26" ht="14.25" customHeight="1">
      <c r="A840" s="161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</row>
    <row r="841" spans="1:26" ht="14.25" customHeight="1">
      <c r="A841" s="161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</row>
    <row r="842" spans="1:26" ht="14.25" customHeight="1">
      <c r="A842" s="161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</row>
    <row r="843" spans="1:26" ht="14.25" customHeight="1">
      <c r="A843" s="161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</row>
    <row r="844" spans="1:26" ht="14.25" customHeight="1">
      <c r="A844" s="161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</row>
    <row r="845" spans="1:26" ht="14.25" customHeight="1">
      <c r="A845" s="161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</row>
    <row r="846" spans="1:26" ht="14.25" customHeight="1">
      <c r="A846" s="161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</row>
    <row r="847" spans="1:26" ht="14.25" customHeight="1">
      <c r="A847" s="161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</row>
    <row r="848" spans="1:26" ht="14.25" customHeight="1">
      <c r="A848" s="161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</row>
    <row r="849" spans="1:26" ht="14.25" customHeight="1">
      <c r="A849" s="161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</row>
    <row r="850" spans="1:26" ht="14.25" customHeight="1">
      <c r="A850" s="161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</row>
    <row r="851" spans="1:26" ht="14.25" customHeight="1">
      <c r="A851" s="161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</row>
    <row r="852" spans="1:26" ht="14.25" customHeight="1">
      <c r="A852" s="161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</row>
    <row r="853" spans="1:26" ht="14.25" customHeight="1">
      <c r="A853" s="161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</row>
    <row r="854" spans="1:26" ht="14.25" customHeight="1">
      <c r="A854" s="161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</row>
    <row r="855" spans="1:26" ht="14.25" customHeight="1">
      <c r="A855" s="161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</row>
    <row r="856" spans="1:26" ht="14.25" customHeight="1">
      <c r="A856" s="161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</row>
    <row r="857" spans="1:26" ht="14.25" customHeight="1">
      <c r="A857" s="161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</row>
    <row r="858" spans="1:26" ht="14.25" customHeight="1">
      <c r="A858" s="161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</row>
    <row r="859" spans="1:26" ht="14.25" customHeight="1">
      <c r="A859" s="161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</row>
    <row r="860" spans="1:26" ht="14.25" customHeight="1">
      <c r="A860" s="161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</row>
    <row r="861" spans="1:26" ht="14.25" customHeight="1">
      <c r="A861" s="161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</row>
    <row r="862" spans="1:26" ht="14.25" customHeight="1">
      <c r="A862" s="161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</row>
    <row r="863" spans="1:26" ht="14.25" customHeight="1">
      <c r="A863" s="161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</row>
    <row r="864" spans="1:26" ht="14.25" customHeight="1">
      <c r="A864" s="161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</row>
    <row r="865" spans="1:26" ht="14.25" customHeight="1">
      <c r="A865" s="161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</row>
    <row r="866" spans="1:26" ht="14.25" customHeight="1">
      <c r="A866" s="161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</row>
    <row r="867" spans="1:26" ht="14.25" customHeight="1">
      <c r="A867" s="161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</row>
    <row r="868" spans="1:26" ht="14.25" customHeight="1">
      <c r="A868" s="161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</row>
    <row r="869" spans="1:26" ht="14.25" customHeight="1">
      <c r="A869" s="161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</row>
    <row r="870" spans="1:26" ht="14.25" customHeight="1">
      <c r="A870" s="161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</row>
    <row r="871" spans="1:26" ht="14.25" customHeight="1">
      <c r="A871" s="161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</row>
    <row r="872" spans="1:26" ht="14.25" customHeight="1">
      <c r="A872" s="161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</row>
    <row r="873" spans="1:26" ht="14.25" customHeight="1">
      <c r="A873" s="161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</row>
    <row r="874" spans="1:26" ht="14.25" customHeight="1">
      <c r="A874" s="161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</row>
    <row r="875" spans="1:26" ht="14.25" customHeight="1">
      <c r="A875" s="161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</row>
    <row r="876" spans="1:26" ht="14.25" customHeight="1">
      <c r="A876" s="161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</row>
    <row r="877" spans="1:26" ht="14.25" customHeight="1">
      <c r="A877" s="161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</row>
    <row r="878" spans="1:26" ht="14.25" customHeight="1">
      <c r="A878" s="161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</row>
    <row r="879" spans="1:26" ht="14.25" customHeight="1">
      <c r="A879" s="161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</row>
    <row r="880" spans="1:26" ht="14.25" customHeight="1">
      <c r="A880" s="161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</row>
    <row r="881" spans="1:26" ht="14.25" customHeight="1">
      <c r="A881" s="161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</row>
    <row r="882" spans="1:26" ht="14.25" customHeight="1">
      <c r="A882" s="161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</row>
    <row r="883" spans="1:26" ht="14.25" customHeight="1">
      <c r="A883" s="161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</row>
    <row r="884" spans="1:26" ht="14.25" customHeight="1">
      <c r="A884" s="161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</row>
    <row r="885" spans="1:26" ht="14.25" customHeight="1">
      <c r="A885" s="161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</row>
    <row r="886" spans="1:26" ht="14.25" customHeight="1">
      <c r="A886" s="161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</row>
    <row r="887" spans="1:26" ht="14.25" customHeight="1">
      <c r="A887" s="161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</row>
    <row r="888" spans="1:26" ht="14.25" customHeight="1">
      <c r="A888" s="161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</row>
    <row r="889" spans="1:26" ht="14.25" customHeight="1">
      <c r="A889" s="161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</row>
    <row r="890" spans="1:26" ht="14.25" customHeight="1">
      <c r="A890" s="161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</row>
    <row r="891" spans="1:26" ht="14.25" customHeight="1">
      <c r="A891" s="161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</row>
    <row r="892" spans="1:26" ht="14.25" customHeight="1">
      <c r="A892" s="161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</row>
    <row r="893" spans="1:26" ht="14.25" customHeight="1">
      <c r="A893" s="161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</row>
    <row r="894" spans="1:26" ht="14.25" customHeight="1">
      <c r="A894" s="161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</row>
    <row r="895" spans="1:26" ht="14.25" customHeight="1">
      <c r="A895" s="161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</row>
    <row r="896" spans="1:26" ht="14.25" customHeight="1">
      <c r="A896" s="161"/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</row>
    <row r="897" spans="1:26" ht="14.25" customHeight="1">
      <c r="A897" s="161"/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</row>
    <row r="898" spans="1:26" ht="14.25" customHeight="1">
      <c r="A898" s="161"/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</row>
    <row r="899" spans="1:26" ht="14.25" customHeight="1">
      <c r="A899" s="161"/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</row>
    <row r="900" spans="1:26" ht="14.25" customHeight="1">
      <c r="A900" s="161"/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</row>
    <row r="901" spans="1:26" ht="14.25" customHeight="1">
      <c r="A901" s="161"/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</row>
    <row r="902" spans="1:26" ht="14.25" customHeight="1">
      <c r="A902" s="161"/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</row>
    <row r="903" spans="1:26" ht="14.25" customHeight="1">
      <c r="A903" s="161"/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</row>
    <row r="904" spans="1:26" ht="14.25" customHeight="1">
      <c r="A904" s="161"/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</row>
    <row r="905" spans="1:26" ht="14.25" customHeight="1">
      <c r="A905" s="161"/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</row>
    <row r="906" spans="1:26" ht="14.25" customHeight="1">
      <c r="A906" s="161"/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</row>
    <row r="907" spans="1:26" ht="14.25" customHeight="1">
      <c r="A907" s="161"/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</row>
    <row r="908" spans="1:26" ht="14.25" customHeight="1">
      <c r="A908" s="161"/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</row>
    <row r="909" spans="1:26" ht="14.25" customHeight="1">
      <c r="A909" s="161"/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</row>
    <row r="910" spans="1:26" ht="14.25" customHeight="1">
      <c r="A910" s="161"/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</row>
    <row r="911" spans="1:26" ht="14.25" customHeight="1">
      <c r="A911" s="161"/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</row>
    <row r="912" spans="1:26" ht="14.25" customHeight="1">
      <c r="A912" s="161"/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</row>
    <row r="913" spans="1:26" ht="14.25" customHeight="1">
      <c r="A913" s="161"/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</row>
    <row r="914" spans="1:26" ht="14.25" customHeight="1">
      <c r="A914" s="161"/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</row>
    <row r="915" spans="1:26" ht="14.25" customHeight="1">
      <c r="A915" s="161"/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</row>
    <row r="916" spans="1:26" ht="14.25" customHeight="1">
      <c r="A916" s="161"/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</row>
    <row r="917" spans="1:26" ht="14.25" customHeight="1">
      <c r="A917" s="161"/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</row>
    <row r="918" spans="1:26" ht="14.25" customHeight="1">
      <c r="A918" s="161"/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</row>
    <row r="919" spans="1:26" ht="14.25" customHeight="1">
      <c r="A919" s="161"/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</row>
    <row r="920" spans="1:26" ht="14.25" customHeight="1">
      <c r="A920" s="161"/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</row>
    <row r="921" spans="1:26" ht="14.25" customHeight="1">
      <c r="A921" s="161"/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</row>
    <row r="922" spans="1:26" ht="14.25" customHeight="1">
      <c r="A922" s="161"/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</row>
    <row r="923" spans="1:26" ht="14.25" customHeight="1">
      <c r="A923" s="161"/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</row>
    <row r="924" spans="1:26" ht="14.25" customHeight="1">
      <c r="A924" s="161"/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</row>
    <row r="925" spans="1:26" ht="14.25" customHeight="1">
      <c r="A925" s="161"/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</row>
    <row r="926" spans="1:26" ht="14.25" customHeight="1">
      <c r="A926" s="161"/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</row>
    <row r="927" spans="1:26" ht="14.25" customHeight="1">
      <c r="A927" s="161"/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</row>
    <row r="928" spans="1:26" ht="14.25" customHeight="1">
      <c r="A928" s="161"/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</row>
    <row r="929" spans="1:26" ht="14.25" customHeight="1">
      <c r="A929" s="161"/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</row>
    <row r="930" spans="1:26" ht="14.25" customHeight="1">
      <c r="A930" s="161"/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</row>
    <row r="931" spans="1:26" ht="14.25" customHeight="1">
      <c r="A931" s="161"/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</row>
    <row r="932" spans="1:26" ht="14.25" customHeight="1">
      <c r="A932" s="161"/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</row>
    <row r="933" spans="1:26" ht="14.25" customHeight="1">
      <c r="A933" s="161"/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</row>
    <row r="934" spans="1:26" ht="14.25" customHeight="1">
      <c r="A934" s="161"/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</row>
    <row r="935" spans="1:26" ht="14.25" customHeight="1">
      <c r="A935" s="161"/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</row>
    <row r="936" spans="1:26" ht="14.25" customHeight="1">
      <c r="A936" s="161"/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</row>
    <row r="937" spans="1:26" ht="14.25" customHeight="1">
      <c r="A937" s="161"/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</row>
    <row r="938" spans="1:26" ht="14.25" customHeight="1">
      <c r="A938" s="161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</row>
    <row r="939" spans="1:26" ht="14.25" customHeight="1">
      <c r="A939" s="161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</row>
    <row r="940" spans="1:26" ht="14.25" customHeight="1">
      <c r="A940" s="161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</row>
    <row r="941" spans="1:26" ht="14.25" customHeight="1">
      <c r="A941" s="161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</row>
    <row r="942" spans="1:26" ht="14.25" customHeight="1">
      <c r="A942" s="161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</row>
    <row r="943" spans="1:26" ht="14.25" customHeight="1">
      <c r="A943" s="161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</row>
    <row r="944" spans="1:26" ht="14.25" customHeight="1">
      <c r="A944" s="161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</row>
    <row r="945" spans="1:26" ht="14.25" customHeight="1">
      <c r="A945" s="161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</row>
    <row r="946" spans="1:26" ht="14.25" customHeight="1">
      <c r="A946" s="161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</row>
    <row r="947" spans="1:26" ht="14.25" customHeight="1">
      <c r="A947" s="161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</row>
    <row r="948" spans="1:26" ht="14.25" customHeight="1">
      <c r="A948" s="161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</row>
    <row r="949" spans="1:26" ht="14.25" customHeight="1">
      <c r="A949" s="161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</row>
    <row r="950" spans="1:26" ht="14.25" customHeight="1">
      <c r="A950" s="161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</row>
    <row r="951" spans="1:26" ht="14.25" customHeight="1">
      <c r="A951" s="161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</row>
    <row r="952" spans="1:26" ht="14.25" customHeight="1">
      <c r="A952" s="161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</row>
    <row r="953" spans="1:26" ht="14.25" customHeight="1">
      <c r="A953" s="161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</row>
    <row r="954" spans="1:26" ht="14.25" customHeight="1">
      <c r="A954" s="161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</row>
    <row r="955" spans="1:26" ht="14.25" customHeight="1">
      <c r="A955" s="161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</row>
    <row r="956" spans="1:26" ht="14.25" customHeight="1">
      <c r="A956" s="161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</row>
    <row r="957" spans="1:26" ht="14.25" customHeight="1">
      <c r="A957" s="161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</row>
    <row r="958" spans="1:26" ht="14.25" customHeight="1">
      <c r="A958" s="161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</row>
    <row r="959" spans="1:26" ht="14.25" customHeight="1">
      <c r="A959" s="161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</row>
    <row r="960" spans="1:26" ht="14.25" customHeight="1">
      <c r="A960" s="161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</row>
    <row r="961" spans="1:26" ht="14.25" customHeight="1">
      <c r="A961" s="161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</row>
    <row r="962" spans="1:26" ht="14.25" customHeight="1">
      <c r="A962" s="161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</row>
    <row r="963" spans="1:26" ht="14.25" customHeight="1">
      <c r="A963" s="161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</row>
    <row r="964" spans="1:26" ht="14.25" customHeight="1">
      <c r="A964" s="161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</row>
    <row r="965" spans="1:26" ht="14.25" customHeight="1">
      <c r="A965" s="161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</row>
    <row r="966" spans="1:26" ht="14.25" customHeight="1">
      <c r="A966" s="161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</row>
    <row r="967" spans="1:26" ht="14.25" customHeight="1">
      <c r="A967" s="161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</row>
    <row r="968" spans="1:26" ht="14.25" customHeight="1">
      <c r="A968" s="161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</row>
    <row r="969" spans="1:26" ht="14.25" customHeight="1">
      <c r="A969" s="161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</row>
    <row r="970" spans="1:26" ht="14.25" customHeight="1">
      <c r="A970" s="161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</row>
    <row r="971" spans="1:26" ht="14.25" customHeight="1">
      <c r="A971" s="161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</row>
    <row r="972" spans="1:26" ht="14.25" customHeight="1">
      <c r="A972" s="161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</row>
    <row r="973" spans="1:26" ht="14.25" customHeight="1">
      <c r="A973" s="161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</row>
    <row r="974" spans="1:26" ht="14.25" customHeight="1">
      <c r="A974" s="161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</row>
    <row r="975" spans="1:26" ht="14.25" customHeight="1">
      <c r="A975" s="161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</row>
    <row r="976" spans="1:26" ht="14.25" customHeight="1">
      <c r="A976" s="161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</row>
    <row r="977" spans="1:26" ht="14.25" customHeight="1">
      <c r="A977" s="161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</row>
    <row r="978" spans="1:26" ht="14.25" customHeight="1">
      <c r="A978" s="161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</row>
    <row r="979" spans="1:26" ht="14.25" customHeight="1">
      <c r="A979" s="161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</row>
    <row r="980" spans="1:26" ht="14.25" customHeight="1">
      <c r="A980" s="161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</row>
    <row r="981" spans="1:26" ht="14.25" customHeight="1">
      <c r="A981" s="161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</row>
    <row r="982" spans="1:26" ht="14.25" customHeight="1">
      <c r="A982" s="161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</row>
    <row r="983" spans="1:26" ht="14.25" customHeight="1">
      <c r="A983" s="161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</row>
    <row r="984" spans="1:26" ht="14.25" customHeight="1">
      <c r="A984" s="161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</row>
    <row r="985" spans="1:26" ht="14.25" customHeight="1">
      <c r="A985" s="161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</row>
    <row r="986" spans="1:26" ht="14.25" customHeight="1">
      <c r="A986" s="161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</row>
    <row r="987" spans="1:26" ht="14.25" customHeight="1">
      <c r="A987" s="161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</row>
    <row r="988" spans="1:26" ht="14.25" customHeight="1">
      <c r="A988" s="161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</row>
    <row r="989" spans="1:26" ht="14.25" customHeight="1">
      <c r="A989" s="161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</row>
    <row r="990" spans="1:26" ht="14.25" customHeight="1">
      <c r="A990" s="161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</row>
    <row r="991" spans="1:26" ht="14.25" customHeight="1">
      <c r="A991" s="161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</row>
    <row r="992" spans="1:26" ht="14.25" customHeight="1">
      <c r="A992" s="161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</row>
    <row r="993" spans="1:26" ht="14.25" customHeight="1">
      <c r="A993" s="161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</row>
    <row r="994" spans="1:26" ht="14.25" customHeight="1">
      <c r="A994" s="161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</row>
    <row r="995" spans="1:26" ht="14.25" customHeight="1">
      <c r="A995" s="161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</row>
    <row r="996" spans="1:26" ht="14.25" customHeight="1">
      <c r="A996" s="161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</row>
    <row r="997" spans="1:26" ht="14.25" customHeight="1">
      <c r="A997" s="161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</row>
    <row r="998" spans="1:26" ht="14.25" customHeight="1">
      <c r="A998" s="161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</row>
    <row r="999" spans="1:26" ht="14.25" customHeight="1">
      <c r="A999" s="161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</row>
    <row r="1000" spans="1:26" ht="14.25" customHeight="1">
      <c r="A1000" s="161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  <c r="Z1000" s="161"/>
    </row>
    <row r="1001" spans="1:26" ht="14.25" customHeight="1">
      <c r="A1001" s="161"/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161"/>
      <c r="R1001" s="161"/>
      <c r="S1001" s="161"/>
      <c r="T1001" s="161"/>
      <c r="U1001" s="161"/>
      <c r="V1001" s="161"/>
      <c r="W1001" s="161"/>
      <c r="X1001" s="161"/>
      <c r="Y1001" s="161"/>
      <c r="Z1001" s="161"/>
    </row>
  </sheetData>
  <mergeCells count="1">
    <mergeCell ref="A1:J1"/>
  </mergeCells>
  <pageMargins left="0.511811024" right="0.511811024" top="0.78740157499999996" bottom="0.78740157499999996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D965"/>
  </sheetPr>
  <dimension ref="A1:M1000"/>
  <sheetViews>
    <sheetView workbookViewId="0">
      <selection activeCell="A49" sqref="A49:F55"/>
    </sheetView>
  </sheetViews>
  <sheetFormatPr defaultColWidth="14.44140625" defaultRowHeight="15" customHeight="1"/>
  <cols>
    <col min="1" max="1" width="11.33203125" customWidth="1"/>
    <col min="2" max="2" width="10.77734375" bestFit="1" customWidth="1"/>
    <col min="3" max="3" width="8.6640625" customWidth="1"/>
    <col min="4" max="4" width="6.5546875" customWidth="1"/>
    <col min="5" max="5" width="5.33203125" customWidth="1"/>
    <col min="6" max="6" width="10.77734375" bestFit="1" customWidth="1"/>
    <col min="7" max="7" width="3.33203125" customWidth="1"/>
    <col min="8" max="8" width="11.33203125" customWidth="1"/>
    <col min="9" max="9" width="10.44140625" customWidth="1"/>
    <col min="10" max="11" width="8.6640625" customWidth="1"/>
    <col min="12" max="12" width="4.88671875" customWidth="1"/>
    <col min="13" max="13" width="10.44140625" customWidth="1"/>
    <col min="14" max="26" width="8.6640625" customWidth="1"/>
  </cols>
  <sheetData>
    <row r="1" spans="1:13" ht="14.25" customHeight="1">
      <c r="A1" s="13" t="s">
        <v>21</v>
      </c>
      <c r="B1" s="487" t="str">
        <f>'Jardim 2A'!A4</f>
        <v>Arthur Silverio B. Ramos</v>
      </c>
      <c r="C1" s="485"/>
      <c r="D1" s="486"/>
      <c r="E1" s="14" t="s">
        <v>22</v>
      </c>
      <c r="F1" s="15">
        <f>'Jardim 2A'!B4</f>
        <v>43876</v>
      </c>
      <c r="H1" s="13" t="s">
        <v>21</v>
      </c>
      <c r="I1" s="484" t="e">
        <f>#REF!</f>
        <v>#REF!</v>
      </c>
      <c r="J1" s="485"/>
      <c r="K1" s="486"/>
      <c r="L1" s="14" t="s">
        <v>22</v>
      </c>
      <c r="M1" s="15" t="e">
        <f>#REF!</f>
        <v>#REF!</v>
      </c>
    </row>
    <row r="2" spans="1:13" ht="14.25" customHeight="1">
      <c r="A2" s="466" t="s">
        <v>23</v>
      </c>
      <c r="B2" s="467"/>
      <c r="C2" s="467"/>
      <c r="D2" s="467"/>
      <c r="E2" s="467"/>
      <c r="F2" s="468"/>
      <c r="H2" s="466" t="s">
        <v>23</v>
      </c>
      <c r="I2" s="467"/>
      <c r="J2" s="467"/>
      <c r="K2" s="467"/>
      <c r="L2" s="467"/>
      <c r="M2" s="468"/>
    </row>
    <row r="3" spans="1:13" ht="14.25" customHeight="1">
      <c r="A3" s="16" t="s">
        <v>24</v>
      </c>
      <c r="B3" s="17">
        <f>'Jardim 2A'!C4</f>
        <v>45729</v>
      </c>
      <c r="C3" s="18" t="s">
        <v>25</v>
      </c>
      <c r="D3" s="469" t="s">
        <v>26</v>
      </c>
      <c r="E3" s="470"/>
      <c r="F3" s="19" t="str">
        <f>'Jardim 2A'!D4</f>
        <v xml:space="preserve">5a </v>
      </c>
      <c r="H3" s="16" t="s">
        <v>24</v>
      </c>
      <c r="I3" s="17" t="e">
        <f>#REF!</f>
        <v>#REF!</v>
      </c>
      <c r="J3" s="18" t="s">
        <v>25</v>
      </c>
      <c r="K3" s="469" t="s">
        <v>26</v>
      </c>
      <c r="L3" s="470"/>
      <c r="M3" s="19" t="e">
        <f>#REF!</f>
        <v>#REF!</v>
      </c>
    </row>
    <row r="4" spans="1:13" ht="14.25" customHeight="1">
      <c r="A4" s="20" t="s">
        <v>3</v>
      </c>
      <c r="B4" s="23">
        <f>'Jardim 2A'!E4</f>
        <v>16.600000000000001</v>
      </c>
      <c r="C4" s="26" t="str">
        <f>'Jardim 2A'!I4</f>
        <v>15-25</v>
      </c>
      <c r="D4" s="471"/>
      <c r="E4" s="472"/>
      <c r="F4" s="473"/>
      <c r="H4" s="20" t="s">
        <v>3</v>
      </c>
      <c r="I4" s="23" t="e">
        <f>#REF!</f>
        <v>#REF!</v>
      </c>
      <c r="J4" s="26" t="e">
        <f>#REF!</f>
        <v>#REF!</v>
      </c>
      <c r="K4" s="483"/>
      <c r="L4" s="472"/>
      <c r="M4" s="473"/>
    </row>
    <row r="5" spans="1:13" ht="14.25" customHeight="1">
      <c r="A5" s="20" t="s">
        <v>27</v>
      </c>
      <c r="B5" s="23">
        <f>'Jardim 2A'!F4</f>
        <v>1.0900000000000001</v>
      </c>
      <c r="C5" s="26" t="str">
        <f>'Jardim 2A'!J4</f>
        <v>25-50</v>
      </c>
      <c r="D5" s="474"/>
      <c r="E5" s="475"/>
      <c r="F5" s="476"/>
      <c r="H5" s="20" t="s">
        <v>27</v>
      </c>
      <c r="I5" s="21" t="e">
        <f>#REF!</f>
        <v>#REF!</v>
      </c>
      <c r="J5" s="26" t="e">
        <f>#REF!</f>
        <v>#REF!</v>
      </c>
      <c r="K5" s="474"/>
      <c r="L5" s="475"/>
      <c r="M5" s="476"/>
    </row>
    <row r="6" spans="1:13" ht="14.25" customHeight="1">
      <c r="A6" s="20" t="s">
        <v>116</v>
      </c>
      <c r="B6" s="21">
        <f>'Jardim 2A'!G4</f>
        <v>13.971887888224897</v>
      </c>
      <c r="C6" s="26" t="str">
        <f>'Jardim 2A'!H4</f>
        <v>15-25</v>
      </c>
      <c r="D6" s="477"/>
      <c r="E6" s="478"/>
      <c r="F6" s="479"/>
      <c r="H6" s="20" t="s">
        <v>117</v>
      </c>
      <c r="I6" s="21" t="e">
        <f>#REF!</f>
        <v>#REF!</v>
      </c>
      <c r="J6" s="26" t="e">
        <f>#REF!</f>
        <v>#REF!</v>
      </c>
      <c r="K6" s="477"/>
      <c r="L6" s="478"/>
      <c r="M6" s="479"/>
    </row>
    <row r="7" spans="1:13" ht="28.8">
      <c r="A7" s="24" t="s">
        <v>30</v>
      </c>
      <c r="B7" s="480" t="str">
        <f>'Jardim 2A'!K4</f>
        <v>ADEQUADO</v>
      </c>
      <c r="C7" s="481"/>
      <c r="D7" s="481"/>
      <c r="E7" s="481"/>
      <c r="F7" s="482"/>
      <c r="H7" s="24" t="s">
        <v>30</v>
      </c>
      <c r="I7" s="480" t="e">
        <f>#REF!</f>
        <v>#REF!</v>
      </c>
      <c r="J7" s="481"/>
      <c r="K7" s="481"/>
      <c r="L7" s="481"/>
      <c r="M7" s="482"/>
    </row>
    <row r="8" spans="1:13" ht="7.5" customHeight="1"/>
    <row r="9" spans="1:13" ht="14.25" customHeight="1">
      <c r="A9" s="13" t="s">
        <v>21</v>
      </c>
      <c r="B9" s="487" t="str">
        <f>'Jardim 2A'!A5</f>
        <v>Aurora de C.Xavier Coelho</v>
      </c>
      <c r="C9" s="485"/>
      <c r="D9" s="486"/>
      <c r="E9" s="14" t="s">
        <v>22</v>
      </c>
      <c r="F9" s="15">
        <f>'Jardim 2A'!B5</f>
        <v>43635</v>
      </c>
      <c r="H9" s="13" t="s">
        <v>21</v>
      </c>
      <c r="I9" s="484" t="e">
        <f>#REF!</f>
        <v>#REF!</v>
      </c>
      <c r="J9" s="485"/>
      <c r="K9" s="486"/>
      <c r="L9" s="14" t="s">
        <v>22</v>
      </c>
      <c r="M9" s="15" t="e">
        <f>#REF!</f>
        <v>#REF!</v>
      </c>
    </row>
    <row r="10" spans="1:13" ht="14.25" customHeight="1">
      <c r="A10" s="466" t="s">
        <v>23</v>
      </c>
      <c r="B10" s="467"/>
      <c r="C10" s="467"/>
      <c r="D10" s="467"/>
      <c r="E10" s="467"/>
      <c r="F10" s="468"/>
      <c r="H10" s="466" t="s">
        <v>23</v>
      </c>
      <c r="I10" s="467"/>
      <c r="J10" s="467"/>
      <c r="K10" s="467"/>
      <c r="L10" s="467"/>
      <c r="M10" s="468"/>
    </row>
    <row r="11" spans="1:13" ht="14.25" customHeight="1">
      <c r="A11" s="16" t="s">
        <v>24</v>
      </c>
      <c r="B11" s="17">
        <f>'Jardim 2A'!C5</f>
        <v>45729</v>
      </c>
      <c r="C11" s="18" t="s">
        <v>25</v>
      </c>
      <c r="D11" s="469" t="s">
        <v>26</v>
      </c>
      <c r="E11" s="470"/>
      <c r="F11" s="19" t="str">
        <f>'Jardim 2A'!D5</f>
        <v>5a 8m</v>
      </c>
      <c r="H11" s="16" t="s">
        <v>24</v>
      </c>
      <c r="I11" s="17" t="e">
        <f>#REF!</f>
        <v>#REF!</v>
      </c>
      <c r="J11" s="18" t="s">
        <v>25</v>
      </c>
      <c r="K11" s="469" t="s">
        <v>26</v>
      </c>
      <c r="L11" s="470"/>
      <c r="M11" s="19" t="e">
        <f>#REF!</f>
        <v>#REF!</v>
      </c>
    </row>
    <row r="12" spans="1:13" ht="14.25" customHeight="1">
      <c r="A12" s="20" t="s">
        <v>3</v>
      </c>
      <c r="B12" s="23">
        <f>'Jardim 2A'!E5</f>
        <v>17.3</v>
      </c>
      <c r="C12" s="26" t="str">
        <f>'Jardim 2A'!I5</f>
        <v>15-25</v>
      </c>
      <c r="D12" s="471"/>
      <c r="E12" s="472"/>
      <c r="F12" s="473"/>
      <c r="H12" s="20" t="s">
        <v>3</v>
      </c>
      <c r="I12" s="23" t="e">
        <f>#REF!</f>
        <v>#REF!</v>
      </c>
      <c r="J12" s="26" t="e">
        <f>#REF!</f>
        <v>#REF!</v>
      </c>
      <c r="K12" s="483"/>
      <c r="L12" s="472"/>
      <c r="M12" s="473"/>
    </row>
    <row r="13" spans="1:13" ht="14.25" customHeight="1">
      <c r="A13" s="20" t="s">
        <v>27</v>
      </c>
      <c r="B13" s="23">
        <f>'Jardim 2A'!F5</f>
        <v>1.1100000000000001</v>
      </c>
      <c r="C13" s="26" t="str">
        <f>'Jardim 2A'!J5</f>
        <v>25-50</v>
      </c>
      <c r="D13" s="474"/>
      <c r="E13" s="475"/>
      <c r="F13" s="476"/>
      <c r="H13" s="20" t="s">
        <v>27</v>
      </c>
      <c r="I13" s="21" t="e">
        <f>#REF!</f>
        <v>#REF!</v>
      </c>
      <c r="J13" s="26" t="e">
        <f>#REF!</f>
        <v>#REF!</v>
      </c>
      <c r="K13" s="474"/>
      <c r="L13" s="475"/>
      <c r="M13" s="476"/>
    </row>
    <row r="14" spans="1:13" ht="14.25" customHeight="1">
      <c r="A14" s="20" t="s">
        <v>28</v>
      </c>
      <c r="B14" s="21">
        <f>'Jardim 2A'!G5</f>
        <v>14.041068095122148</v>
      </c>
      <c r="C14" s="26" t="str">
        <f>'Jardim 2A'!H5</f>
        <v>15-25</v>
      </c>
      <c r="D14" s="477"/>
      <c r="E14" s="478"/>
      <c r="F14" s="479"/>
      <c r="H14" s="20" t="s">
        <v>118</v>
      </c>
      <c r="I14" s="21" t="e">
        <f>#REF!</f>
        <v>#REF!</v>
      </c>
      <c r="J14" s="26" t="e">
        <f>#REF!</f>
        <v>#REF!</v>
      </c>
      <c r="K14" s="477"/>
      <c r="L14" s="478"/>
      <c r="M14" s="479"/>
    </row>
    <row r="15" spans="1:13" ht="28.8">
      <c r="A15" s="24" t="s">
        <v>30</v>
      </c>
      <c r="B15" s="480" t="str">
        <f>'Jardim 2A'!K5</f>
        <v>ADEQUADO</v>
      </c>
      <c r="C15" s="481"/>
      <c r="D15" s="481"/>
      <c r="E15" s="481"/>
      <c r="F15" s="482"/>
      <c r="H15" s="24" t="s">
        <v>30</v>
      </c>
      <c r="I15" s="480" t="e">
        <f>#REF!</f>
        <v>#REF!</v>
      </c>
      <c r="J15" s="481"/>
      <c r="K15" s="481"/>
      <c r="L15" s="481"/>
      <c r="M15" s="482"/>
    </row>
    <row r="16" spans="1:13" ht="6" customHeight="1"/>
    <row r="17" spans="1:13" ht="14.25" customHeight="1">
      <c r="A17" s="13" t="s">
        <v>21</v>
      </c>
      <c r="B17" s="487" t="str">
        <f>'Jardim 2A'!A6</f>
        <v>Heloísa Abrahao Hirose</v>
      </c>
      <c r="C17" s="485"/>
      <c r="D17" s="486"/>
      <c r="E17" s="14" t="s">
        <v>22</v>
      </c>
      <c r="F17" s="15">
        <f>'Jardim 2A'!B6</f>
        <v>43759</v>
      </c>
      <c r="H17" s="13" t="s">
        <v>21</v>
      </c>
      <c r="I17" s="484" t="e">
        <f>#REF!</f>
        <v>#REF!</v>
      </c>
      <c r="J17" s="485"/>
      <c r="K17" s="486"/>
      <c r="L17" s="14" t="s">
        <v>22</v>
      </c>
      <c r="M17" s="15" t="e">
        <f>#REF!</f>
        <v>#REF!</v>
      </c>
    </row>
    <row r="18" spans="1:13" ht="14.25" customHeight="1">
      <c r="A18" s="466" t="s">
        <v>23</v>
      </c>
      <c r="B18" s="467"/>
      <c r="C18" s="467"/>
      <c r="D18" s="467"/>
      <c r="E18" s="467"/>
      <c r="F18" s="468"/>
      <c r="H18" s="466" t="s">
        <v>23</v>
      </c>
      <c r="I18" s="467"/>
      <c r="J18" s="467"/>
      <c r="K18" s="467"/>
      <c r="L18" s="467"/>
      <c r="M18" s="468"/>
    </row>
    <row r="19" spans="1:13" ht="14.25" customHeight="1">
      <c r="A19" s="16" t="s">
        <v>24</v>
      </c>
      <c r="B19" s="17">
        <f>'Jardim 2A'!C6</f>
        <v>45729</v>
      </c>
      <c r="C19" s="18" t="s">
        <v>25</v>
      </c>
      <c r="D19" s="469" t="s">
        <v>26</v>
      </c>
      <c r="E19" s="470"/>
      <c r="F19" s="19" t="str">
        <f>'Jardim 2A'!D6</f>
        <v>5a 4m</v>
      </c>
      <c r="H19" s="16" t="s">
        <v>24</v>
      </c>
      <c r="I19" s="17" t="e">
        <f>#REF!</f>
        <v>#REF!</v>
      </c>
      <c r="J19" s="18" t="s">
        <v>25</v>
      </c>
      <c r="K19" s="469" t="s">
        <v>26</v>
      </c>
      <c r="L19" s="470"/>
      <c r="M19" s="19" t="e">
        <f>#REF!</f>
        <v>#REF!</v>
      </c>
    </row>
    <row r="20" spans="1:13" ht="14.25" customHeight="1">
      <c r="A20" s="20" t="s">
        <v>3</v>
      </c>
      <c r="B20" s="23">
        <f>'Jardim 2A'!E6</f>
        <v>19.3</v>
      </c>
      <c r="C20" s="26" t="str">
        <f>'Jardim 2A'!I6</f>
        <v>50-75</v>
      </c>
      <c r="D20" s="471"/>
      <c r="E20" s="472"/>
      <c r="F20" s="473"/>
      <c r="H20" s="20" t="s">
        <v>3</v>
      </c>
      <c r="I20" s="23" t="e">
        <f>#REF!</f>
        <v>#REF!</v>
      </c>
      <c r="J20" s="26" t="e">
        <f>#REF!</f>
        <v>#REF!</v>
      </c>
      <c r="K20" s="483"/>
      <c r="L20" s="472"/>
      <c r="M20" s="473"/>
    </row>
    <row r="21" spans="1:13" ht="14.25" customHeight="1">
      <c r="A21" s="20" t="s">
        <v>27</v>
      </c>
      <c r="B21" s="21">
        <f>'Jardim 2A'!F6</f>
        <v>1.1000000000000001</v>
      </c>
      <c r="C21" s="26" t="str">
        <f>'Jardim 2A'!J6</f>
        <v>25-50</v>
      </c>
      <c r="D21" s="474"/>
      <c r="E21" s="475"/>
      <c r="F21" s="476"/>
      <c r="H21" s="20" t="s">
        <v>27</v>
      </c>
      <c r="I21" s="21" t="e">
        <f>#REF!</f>
        <v>#REF!</v>
      </c>
      <c r="J21" s="26" t="e">
        <f>#REF!</f>
        <v>#REF!</v>
      </c>
      <c r="K21" s="474"/>
      <c r="L21" s="475"/>
      <c r="M21" s="476"/>
    </row>
    <row r="22" spans="1:13" ht="14.25" customHeight="1">
      <c r="A22" s="20" t="s">
        <v>28</v>
      </c>
      <c r="B22" s="21">
        <f>'Jardim 2A'!G6</f>
        <v>15.950413223140494</v>
      </c>
      <c r="C22" s="26" t="str">
        <f>'Jardim 2A'!H6</f>
        <v>50-75</v>
      </c>
      <c r="D22" s="477"/>
      <c r="E22" s="478"/>
      <c r="F22" s="479"/>
      <c r="H22" s="20" t="s">
        <v>119</v>
      </c>
      <c r="I22" s="21" t="e">
        <f>#REF!</f>
        <v>#REF!</v>
      </c>
      <c r="J22" s="26" t="e">
        <f>#REF!</f>
        <v>#REF!</v>
      </c>
      <c r="K22" s="477"/>
      <c r="L22" s="478"/>
      <c r="M22" s="479"/>
    </row>
    <row r="23" spans="1:13" ht="28.8">
      <c r="A23" s="24" t="s">
        <v>30</v>
      </c>
      <c r="B23" s="480" t="str">
        <f>'Jardim 2A'!K6</f>
        <v>ADEQUADO</v>
      </c>
      <c r="C23" s="481"/>
      <c r="D23" s="481"/>
      <c r="E23" s="481"/>
      <c r="F23" s="482"/>
      <c r="H23" s="24" t="s">
        <v>30</v>
      </c>
      <c r="I23" s="480" t="e">
        <f>#REF!</f>
        <v>#REF!</v>
      </c>
      <c r="J23" s="481"/>
      <c r="K23" s="481"/>
      <c r="L23" s="481"/>
      <c r="M23" s="482"/>
    </row>
    <row r="24" spans="1:13" ht="8.25" customHeight="1"/>
    <row r="25" spans="1:13" ht="14.25" customHeight="1">
      <c r="A25" s="13" t="s">
        <v>21</v>
      </c>
      <c r="B25" s="487" t="str">
        <f>'Jardim 2A'!A7</f>
        <v>Henry Barsotti Nunes</v>
      </c>
      <c r="C25" s="485"/>
      <c r="D25" s="486"/>
      <c r="E25" s="14" t="s">
        <v>22</v>
      </c>
      <c r="F25" s="15">
        <f>'Jardim 2A'!B7</f>
        <v>43565</v>
      </c>
      <c r="H25" s="13" t="s">
        <v>21</v>
      </c>
      <c r="I25" s="484"/>
      <c r="J25" s="485"/>
      <c r="K25" s="486"/>
      <c r="L25" s="14" t="s">
        <v>22</v>
      </c>
      <c r="M25" s="15"/>
    </row>
    <row r="26" spans="1:13" ht="14.25" customHeight="1">
      <c r="A26" s="466" t="s">
        <v>23</v>
      </c>
      <c r="B26" s="467"/>
      <c r="C26" s="467"/>
      <c r="D26" s="467"/>
      <c r="E26" s="467"/>
      <c r="F26" s="468"/>
      <c r="H26" s="466" t="s">
        <v>23</v>
      </c>
      <c r="I26" s="467"/>
      <c r="J26" s="467"/>
      <c r="K26" s="467"/>
      <c r="L26" s="467"/>
      <c r="M26" s="468"/>
    </row>
    <row r="27" spans="1:13" ht="14.25" customHeight="1">
      <c r="A27" s="16" t="s">
        <v>24</v>
      </c>
      <c r="B27" s="17">
        <f>'Jardim 2A'!C7</f>
        <v>45729</v>
      </c>
      <c r="C27" s="18" t="s">
        <v>25</v>
      </c>
      <c r="D27" s="469" t="s">
        <v>26</v>
      </c>
      <c r="E27" s="470"/>
      <c r="F27" s="19" t="str">
        <f>'Jardim 2A'!D7</f>
        <v>5a 11m</v>
      </c>
      <c r="H27" s="16" t="s">
        <v>24</v>
      </c>
      <c r="I27" s="17"/>
      <c r="J27" s="18" t="s">
        <v>25</v>
      </c>
      <c r="K27" s="469" t="s">
        <v>26</v>
      </c>
      <c r="L27" s="470"/>
      <c r="M27" s="19"/>
    </row>
    <row r="28" spans="1:13" ht="14.25" customHeight="1">
      <c r="A28" s="20" t="s">
        <v>3</v>
      </c>
      <c r="B28" s="23">
        <f>'Jardim 2A'!E7</f>
        <v>20.3</v>
      </c>
      <c r="C28" s="26">
        <f>'Jardim 2A'!I7</f>
        <v>50</v>
      </c>
      <c r="D28" s="471"/>
      <c r="E28" s="472"/>
      <c r="F28" s="473"/>
      <c r="H28" s="20" t="s">
        <v>3</v>
      </c>
      <c r="I28" s="23"/>
      <c r="J28" s="23"/>
      <c r="K28" s="483"/>
      <c r="L28" s="472"/>
      <c r="M28" s="473"/>
    </row>
    <row r="29" spans="1:13" ht="14.25" customHeight="1">
      <c r="A29" s="20" t="s">
        <v>27</v>
      </c>
      <c r="B29" s="23">
        <f>'Jardim 2A'!F7</f>
        <v>1.1599999999999999</v>
      </c>
      <c r="C29" s="26" t="str">
        <f>'Jardim 2A'!J7</f>
        <v>50-75</v>
      </c>
      <c r="D29" s="474"/>
      <c r="E29" s="475"/>
      <c r="F29" s="476"/>
      <c r="H29" s="20" t="s">
        <v>27</v>
      </c>
      <c r="I29" s="23"/>
      <c r="J29" s="23"/>
      <c r="K29" s="474"/>
      <c r="L29" s="475"/>
      <c r="M29" s="476"/>
    </row>
    <row r="30" spans="1:13" ht="14.25" customHeight="1">
      <c r="A30" s="20" t="s">
        <v>28</v>
      </c>
      <c r="B30" s="21">
        <f>'Jardim 2A'!G7</f>
        <v>15.086206896551726</v>
      </c>
      <c r="C30" s="26" t="str">
        <f>'Jardim 2A'!H7</f>
        <v>25-50</v>
      </c>
      <c r="D30" s="477"/>
      <c r="E30" s="478"/>
      <c r="F30" s="479"/>
      <c r="H30" s="20" t="s">
        <v>120</v>
      </c>
      <c r="I30" s="25"/>
      <c r="J30" s="23"/>
      <c r="K30" s="477"/>
      <c r="L30" s="478"/>
      <c r="M30" s="479"/>
    </row>
    <row r="31" spans="1:13" ht="14.25" customHeight="1">
      <c r="A31" s="24" t="s">
        <v>30</v>
      </c>
      <c r="B31" s="480" t="str">
        <f>'Jardim 2A'!K7</f>
        <v>ADEQUADO</v>
      </c>
      <c r="C31" s="481"/>
      <c r="D31" s="481"/>
      <c r="E31" s="481"/>
      <c r="F31" s="482"/>
      <c r="H31" s="24" t="s">
        <v>30</v>
      </c>
      <c r="I31" s="480"/>
      <c r="J31" s="481"/>
      <c r="K31" s="481"/>
      <c r="L31" s="481"/>
      <c r="M31" s="482"/>
    </row>
    <row r="32" spans="1:13" ht="14.25" customHeight="1" thickBot="1"/>
    <row r="33" spans="1:6" ht="14.25" customHeight="1">
      <c r="A33" s="13" t="s">
        <v>21</v>
      </c>
      <c r="B33" s="487" t="str">
        <f>'Jardim 2A'!A8</f>
        <v>Manuella Junqueira Rocha</v>
      </c>
      <c r="C33" s="485"/>
      <c r="D33" s="486"/>
      <c r="E33" s="14" t="s">
        <v>22</v>
      </c>
      <c r="F33" s="15">
        <f>'Jardim 2A'!B8</f>
        <v>43596</v>
      </c>
    </row>
    <row r="34" spans="1:6" ht="14.25" customHeight="1">
      <c r="A34" s="466" t="s">
        <v>23</v>
      </c>
      <c r="B34" s="467"/>
      <c r="C34" s="467"/>
      <c r="D34" s="467"/>
      <c r="E34" s="467"/>
      <c r="F34" s="468"/>
    </row>
    <row r="35" spans="1:6" ht="14.25" customHeight="1">
      <c r="A35" s="16" t="s">
        <v>24</v>
      </c>
      <c r="B35" s="17">
        <f>'Jardim 2A'!C8</f>
        <v>45729</v>
      </c>
      <c r="C35" s="18" t="s">
        <v>25</v>
      </c>
      <c r="D35" s="469" t="s">
        <v>26</v>
      </c>
      <c r="E35" s="470"/>
      <c r="F35" s="19" t="str">
        <f>'Jardim 2A'!D8</f>
        <v>5a 10m</v>
      </c>
    </row>
    <row r="36" spans="1:6" ht="14.25" customHeight="1">
      <c r="A36" s="20" t="s">
        <v>3</v>
      </c>
      <c r="B36" s="23">
        <f>'Jardim 2A'!E8</f>
        <v>17</v>
      </c>
      <c r="C36" s="26" t="str">
        <f>'Jardim 2A'!I8</f>
        <v>5-15.</v>
      </c>
      <c r="D36" s="471"/>
      <c r="E36" s="472"/>
      <c r="F36" s="473"/>
    </row>
    <row r="37" spans="1:6" ht="14.25" customHeight="1">
      <c r="A37" s="20" t="s">
        <v>27</v>
      </c>
      <c r="B37" s="21">
        <f>'Jardim 2A'!F8</f>
        <v>1.1299999999999999</v>
      </c>
      <c r="C37" s="26" t="str">
        <f>'Jardim 2A'!J8</f>
        <v>25-50</v>
      </c>
      <c r="D37" s="474"/>
      <c r="E37" s="475"/>
      <c r="F37" s="476"/>
    </row>
    <row r="38" spans="1:6" ht="14.25" customHeight="1">
      <c r="A38" s="20" t="s">
        <v>28</v>
      </c>
      <c r="B38" s="21">
        <f>'Jardim 2A'!G8</f>
        <v>13.313493617354533</v>
      </c>
      <c r="C38" s="26" t="str">
        <f>'Jardim 2A'!H8</f>
        <v>5-15.</v>
      </c>
      <c r="D38" s="477"/>
      <c r="E38" s="478"/>
      <c r="F38" s="479"/>
    </row>
    <row r="39" spans="1:6" ht="29.4" thickBot="1">
      <c r="A39" s="24" t="s">
        <v>30</v>
      </c>
      <c r="B39" s="480" t="str">
        <f>'Jardim 2A'!K8</f>
        <v>ADEQUADO</v>
      </c>
      <c r="C39" s="481"/>
      <c r="D39" s="481"/>
      <c r="E39" s="481"/>
      <c r="F39" s="482"/>
    </row>
    <row r="40" spans="1:6" ht="14.25" customHeight="1" thickBot="1"/>
    <row r="41" spans="1:6" ht="14.25" customHeight="1">
      <c r="A41" s="13" t="s">
        <v>21</v>
      </c>
      <c r="B41" s="487" t="str">
        <f>'Jardim 2A'!A9</f>
        <v>Maria Júlia T. Kitagawa</v>
      </c>
      <c r="C41" s="485"/>
      <c r="D41" s="486"/>
      <c r="E41" s="14" t="s">
        <v>22</v>
      </c>
      <c r="F41" s="15">
        <f>'Jardim 2A'!B9</f>
        <v>43836</v>
      </c>
    </row>
    <row r="42" spans="1:6" ht="14.25" customHeight="1">
      <c r="A42" s="466" t="s">
        <v>23</v>
      </c>
      <c r="B42" s="467"/>
      <c r="C42" s="467"/>
      <c r="D42" s="467"/>
      <c r="E42" s="467"/>
      <c r="F42" s="468"/>
    </row>
    <row r="43" spans="1:6" ht="14.25" customHeight="1">
      <c r="A43" s="16" t="s">
        <v>24</v>
      </c>
      <c r="B43" s="17">
        <f>'Jardim 2A'!C9</f>
        <v>0</v>
      </c>
      <c r="C43" s="18" t="s">
        <v>25</v>
      </c>
      <c r="D43" s="469" t="s">
        <v>26</v>
      </c>
      <c r="E43" s="470"/>
      <c r="F43" s="19">
        <f>'Jardim 2A'!D9</f>
        <v>0</v>
      </c>
    </row>
    <row r="44" spans="1:6" ht="14.25" customHeight="1">
      <c r="A44" s="20" t="s">
        <v>3</v>
      </c>
      <c r="B44" s="23">
        <f>'Jardim 2A'!E9</f>
        <v>0</v>
      </c>
      <c r="C44" s="26">
        <f>'Jardim 2A'!I9</f>
        <v>0</v>
      </c>
      <c r="D44" s="471"/>
      <c r="E44" s="472"/>
      <c r="F44" s="473"/>
    </row>
    <row r="45" spans="1:6" ht="14.25" customHeight="1">
      <c r="A45" s="20" t="s">
        <v>27</v>
      </c>
      <c r="B45" s="21">
        <f>'Jardim 2A'!F9</f>
        <v>0</v>
      </c>
      <c r="C45" s="26">
        <f>'Jardim 2A'!J9</f>
        <v>0</v>
      </c>
      <c r="D45" s="474"/>
      <c r="E45" s="475"/>
      <c r="F45" s="476"/>
    </row>
    <row r="46" spans="1:6" ht="14.25" customHeight="1">
      <c r="A46" s="20" t="s">
        <v>28</v>
      </c>
      <c r="B46" s="21" t="e">
        <f>'Jardim 2A'!G9</f>
        <v>#DIV/0!</v>
      </c>
      <c r="C46" s="26">
        <f>'Jardim 2A'!H9</f>
        <v>0</v>
      </c>
      <c r="D46" s="477"/>
      <c r="E46" s="478"/>
      <c r="F46" s="479"/>
    </row>
    <row r="47" spans="1:6" ht="29.4" thickBot="1">
      <c r="A47" s="24" t="s">
        <v>30</v>
      </c>
      <c r="B47" s="480">
        <f>'Jardim 2A'!K9</f>
        <v>0</v>
      </c>
      <c r="C47" s="481"/>
      <c r="D47" s="481"/>
      <c r="E47" s="481"/>
      <c r="F47" s="482"/>
    </row>
    <row r="48" spans="1:6" ht="14.25" customHeight="1" thickBot="1"/>
    <row r="49" spans="1:6" ht="14.25" customHeight="1">
      <c r="A49" s="13" t="s">
        <v>21</v>
      </c>
      <c r="B49" s="487" t="str">
        <f>'Jardim 2A'!A10</f>
        <v>Rodrigo Junqueira Rocha</v>
      </c>
      <c r="C49" s="485"/>
      <c r="D49" s="486"/>
      <c r="E49" s="14" t="s">
        <v>22</v>
      </c>
      <c r="F49" s="15">
        <f>'Jardim 2A'!B10</f>
        <v>43596</v>
      </c>
    </row>
    <row r="50" spans="1:6" ht="14.25" customHeight="1">
      <c r="A50" s="466" t="s">
        <v>23</v>
      </c>
      <c r="B50" s="467"/>
      <c r="C50" s="467"/>
      <c r="D50" s="467"/>
      <c r="E50" s="467"/>
      <c r="F50" s="468"/>
    </row>
    <row r="51" spans="1:6" ht="14.25" customHeight="1">
      <c r="A51" s="16" t="s">
        <v>24</v>
      </c>
      <c r="B51" s="17">
        <f>'Jardim 2A'!C10</f>
        <v>45729</v>
      </c>
      <c r="C51" s="18" t="s">
        <v>25</v>
      </c>
      <c r="D51" s="469" t="s">
        <v>26</v>
      </c>
      <c r="E51" s="470"/>
      <c r="F51" s="19" t="str">
        <f>'Jardim 2A'!D10</f>
        <v>5a 10m</v>
      </c>
    </row>
    <row r="52" spans="1:6" ht="14.25" customHeight="1">
      <c r="A52" s="20" t="s">
        <v>3</v>
      </c>
      <c r="B52" s="23">
        <f>'Jardim 2A'!E10</f>
        <v>34.4</v>
      </c>
      <c r="C52" s="26" t="str">
        <f>'Jardim 2A'!I10</f>
        <v>&gt; 99</v>
      </c>
      <c r="D52" s="471"/>
      <c r="E52" s="472"/>
      <c r="F52" s="473"/>
    </row>
    <row r="53" spans="1:6" ht="14.25" customHeight="1">
      <c r="A53" s="20" t="s">
        <v>27</v>
      </c>
      <c r="B53" s="21">
        <f>'Jardim 2A'!F10</f>
        <v>1.2</v>
      </c>
      <c r="C53" s="26">
        <f>'Jardim 2A'!J10</f>
        <v>85</v>
      </c>
      <c r="D53" s="474"/>
      <c r="E53" s="475"/>
      <c r="F53" s="476"/>
    </row>
    <row r="54" spans="1:6" ht="14.25" customHeight="1">
      <c r="A54" s="20" t="s">
        <v>28</v>
      </c>
      <c r="B54" s="21">
        <f>'Jardim 2A'!G10</f>
        <v>23.888888888888889</v>
      </c>
      <c r="C54" s="26" t="str">
        <f>'Jardim 2A'!H10</f>
        <v>&gt; 99</v>
      </c>
      <c r="D54" s="477"/>
      <c r="E54" s="478"/>
      <c r="F54" s="479"/>
    </row>
    <row r="55" spans="1:6" ht="14.25" customHeight="1" thickBot="1">
      <c r="A55" s="24" t="s">
        <v>30</v>
      </c>
      <c r="B55" s="480" t="str">
        <f>'Jardim 2A'!K10</f>
        <v>OBESIDADE</v>
      </c>
      <c r="C55" s="481"/>
      <c r="D55" s="481"/>
      <c r="E55" s="481"/>
      <c r="F55" s="482"/>
    </row>
    <row r="56" spans="1:6" ht="14.25" customHeight="1"/>
    <row r="57" spans="1:6" ht="14.25" customHeight="1"/>
    <row r="58" spans="1:6" ht="14.25" customHeight="1"/>
    <row r="59" spans="1:6" ht="14.25" customHeight="1"/>
    <row r="60" spans="1:6" ht="14.25" customHeight="1"/>
    <row r="61" spans="1:6" ht="14.25" customHeight="1"/>
    <row r="62" spans="1:6" ht="14.25" customHeight="1"/>
    <row r="63" spans="1:6" ht="14.25" customHeight="1"/>
    <row r="64" spans="1:6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5">
    <mergeCell ref="B49:D49"/>
    <mergeCell ref="A50:F50"/>
    <mergeCell ref="D51:E51"/>
    <mergeCell ref="D52:F54"/>
    <mergeCell ref="B55:F55"/>
    <mergeCell ref="B41:D41"/>
    <mergeCell ref="A42:F42"/>
    <mergeCell ref="D43:E43"/>
    <mergeCell ref="D44:F46"/>
    <mergeCell ref="B47:F47"/>
    <mergeCell ref="B33:D33"/>
    <mergeCell ref="A34:F34"/>
    <mergeCell ref="D35:E35"/>
    <mergeCell ref="D36:F38"/>
    <mergeCell ref="B39:F39"/>
    <mergeCell ref="B1:D1"/>
    <mergeCell ref="I1:K1"/>
    <mergeCell ref="A2:F2"/>
    <mergeCell ref="H2:M2"/>
    <mergeCell ref="D3:E3"/>
    <mergeCell ref="K3:L3"/>
    <mergeCell ref="K4:M6"/>
    <mergeCell ref="D4:F6"/>
    <mergeCell ref="B7:F7"/>
    <mergeCell ref="B9:D9"/>
    <mergeCell ref="A10:F10"/>
    <mergeCell ref="I7:M7"/>
    <mergeCell ref="I9:K9"/>
    <mergeCell ref="H10:M10"/>
    <mergeCell ref="D11:E11"/>
    <mergeCell ref="D12:F14"/>
    <mergeCell ref="B15:F15"/>
    <mergeCell ref="I15:M15"/>
    <mergeCell ref="I17:K17"/>
    <mergeCell ref="K11:L11"/>
    <mergeCell ref="K12:M14"/>
    <mergeCell ref="D28:F30"/>
    <mergeCell ref="B31:F31"/>
    <mergeCell ref="B17:D17"/>
    <mergeCell ref="A18:F18"/>
    <mergeCell ref="D19:E19"/>
    <mergeCell ref="D20:F22"/>
    <mergeCell ref="B23:F23"/>
    <mergeCell ref="B25:D25"/>
    <mergeCell ref="A26:F26"/>
    <mergeCell ref="D27:E27"/>
    <mergeCell ref="K28:M30"/>
    <mergeCell ref="I31:M31"/>
    <mergeCell ref="H18:M18"/>
    <mergeCell ref="K19:L19"/>
    <mergeCell ref="K20:M22"/>
    <mergeCell ref="K27:L27"/>
    <mergeCell ref="I23:M23"/>
    <mergeCell ref="I25:K25"/>
    <mergeCell ref="H26:M26"/>
  </mergeCells>
  <pageMargins left="0.511811024" right="0.511811024" top="0.78740157499999996" bottom="0.78740157499999996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BF9000"/>
  </sheetPr>
  <dimension ref="A1:Z999"/>
  <sheetViews>
    <sheetView workbookViewId="0">
      <selection sqref="A1:K16"/>
    </sheetView>
  </sheetViews>
  <sheetFormatPr defaultColWidth="14.44140625" defaultRowHeight="15" customHeight="1"/>
  <cols>
    <col min="1" max="1" width="24.77734375" style="187" customWidth="1"/>
    <col min="2" max="2" width="10.5546875" style="187" customWidth="1"/>
    <col min="3" max="3" width="11" style="187" bestFit="1" customWidth="1"/>
    <col min="4" max="4" width="6.33203125" style="187" customWidth="1"/>
    <col min="5" max="5" width="5.6640625" style="187" customWidth="1"/>
    <col min="6" max="6" width="8" style="187" customWidth="1"/>
    <col min="7" max="7" width="7.109375" style="187" customWidth="1"/>
    <col min="8" max="8" width="6.33203125" style="187" customWidth="1"/>
    <col min="9" max="10" width="5.5546875" style="187" customWidth="1"/>
    <col min="11" max="11" width="21.109375" style="187" customWidth="1"/>
    <col min="12" max="12" width="3.33203125" style="187" customWidth="1"/>
    <col min="13" max="13" width="12.5546875" style="187" customWidth="1"/>
    <col min="14" max="14" width="7.109375" style="187" customWidth="1"/>
    <col min="15" max="15" width="7.33203125" style="187" customWidth="1"/>
    <col min="16" max="26" width="9.109375" style="187" customWidth="1"/>
    <col min="27" max="16384" width="14.44140625" style="187"/>
  </cols>
  <sheetData>
    <row r="1" spans="1:26" ht="14.25" customHeight="1">
      <c r="A1" s="498" t="s">
        <v>214</v>
      </c>
      <c r="B1" s="521"/>
      <c r="C1" s="521"/>
      <c r="D1" s="521"/>
      <c r="E1" s="521"/>
      <c r="F1" s="521"/>
      <c r="G1" s="521"/>
      <c r="H1" s="521"/>
      <c r="I1" s="521"/>
      <c r="J1" s="522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</row>
    <row r="2" spans="1:26" ht="14.25" customHeight="1">
      <c r="A2" s="183"/>
      <c r="B2" s="184"/>
      <c r="C2" s="184"/>
      <c r="D2" s="184"/>
      <c r="E2" s="184"/>
      <c r="F2" s="184"/>
      <c r="G2" s="184"/>
      <c r="H2" s="184"/>
      <c r="I2" s="184"/>
      <c r="J2" s="185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</row>
    <row r="3" spans="1:26" ht="27.6" customHeight="1">
      <c r="A3" s="181"/>
      <c r="B3" s="182" t="s">
        <v>0</v>
      </c>
      <c r="C3" s="182" t="s">
        <v>1</v>
      </c>
      <c r="D3" s="182" t="s">
        <v>2</v>
      </c>
      <c r="E3" s="182" t="s">
        <v>3</v>
      </c>
      <c r="F3" s="182" t="s">
        <v>4</v>
      </c>
      <c r="G3" s="182" t="s">
        <v>5</v>
      </c>
      <c r="H3" s="182" t="s">
        <v>6</v>
      </c>
      <c r="I3" s="182" t="s">
        <v>7</v>
      </c>
      <c r="J3" s="182" t="s">
        <v>8</v>
      </c>
      <c r="K3" s="182" t="s">
        <v>9</v>
      </c>
      <c r="L3" s="169"/>
      <c r="M3" s="170"/>
      <c r="N3" s="170" t="s">
        <v>10</v>
      </c>
      <c r="O3" s="170" t="s">
        <v>11</v>
      </c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</row>
    <row r="4" spans="1:26" ht="14.25" customHeight="1">
      <c r="A4" s="311" t="s">
        <v>109</v>
      </c>
      <c r="B4" s="312">
        <v>43895</v>
      </c>
      <c r="C4" s="220">
        <v>45729</v>
      </c>
      <c r="D4" s="313" t="s">
        <v>260</v>
      </c>
      <c r="E4" s="313">
        <v>15.6</v>
      </c>
      <c r="F4" s="313">
        <v>1.08</v>
      </c>
      <c r="G4" s="215">
        <f>E4/(F4*F4)</f>
        <v>13.374485596707817</v>
      </c>
      <c r="H4" s="217" t="s">
        <v>273</v>
      </c>
      <c r="I4" s="217" t="s">
        <v>273</v>
      </c>
      <c r="J4" s="217" t="s">
        <v>274</v>
      </c>
      <c r="K4" s="217" t="s">
        <v>290</v>
      </c>
      <c r="L4" s="171"/>
      <c r="M4" s="186" t="s">
        <v>12</v>
      </c>
      <c r="N4" s="170"/>
      <c r="O4" s="170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</row>
    <row r="5" spans="1:26" ht="14.25" customHeight="1">
      <c r="A5" s="311" t="s">
        <v>110</v>
      </c>
      <c r="B5" s="312">
        <v>43913</v>
      </c>
      <c r="C5" s="220">
        <v>45729</v>
      </c>
      <c r="D5" s="383" t="s">
        <v>258</v>
      </c>
      <c r="E5" s="313">
        <v>18.399999999999999</v>
      </c>
      <c r="F5" s="383">
        <v>1.1000000000000001</v>
      </c>
      <c r="G5" s="215">
        <f>E5/(F5*F5)</f>
        <v>15.206611570247931</v>
      </c>
      <c r="H5" s="233" t="s">
        <v>274</v>
      </c>
      <c r="I5" s="233" t="s">
        <v>275</v>
      </c>
      <c r="J5" s="233" t="s">
        <v>275</v>
      </c>
      <c r="K5" s="217" t="s">
        <v>290</v>
      </c>
      <c r="L5" s="161"/>
      <c r="M5" s="186" t="s">
        <v>13</v>
      </c>
      <c r="N5" s="170">
        <v>7</v>
      </c>
      <c r="O5" s="170">
        <v>1</v>
      </c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</row>
    <row r="6" spans="1:26" ht="14.25" customHeight="1">
      <c r="A6" s="380" t="s">
        <v>215</v>
      </c>
      <c r="B6" s="249">
        <v>43881</v>
      </c>
      <c r="C6" s="244">
        <v>45729</v>
      </c>
      <c r="D6" s="374" t="s">
        <v>260</v>
      </c>
      <c r="E6" s="382">
        <v>17</v>
      </c>
      <c r="F6" s="374">
        <v>1.1100000000000001</v>
      </c>
      <c r="G6" s="97">
        <f t="shared" ref="G6:G16" si="0">E6/(F6*F6)</f>
        <v>13.797581365148931</v>
      </c>
      <c r="H6" s="103" t="s">
        <v>273</v>
      </c>
      <c r="I6" s="103" t="s">
        <v>274</v>
      </c>
      <c r="J6" s="103" t="s">
        <v>275</v>
      </c>
      <c r="K6" s="103" t="s">
        <v>290</v>
      </c>
      <c r="L6" s="161"/>
      <c r="M6" s="186" t="s">
        <v>15</v>
      </c>
      <c r="N6" s="170">
        <v>2</v>
      </c>
      <c r="O6" s="170">
        <v>1</v>
      </c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</row>
    <row r="7" spans="1:26" ht="14.25" customHeight="1">
      <c r="A7" s="311" t="s">
        <v>216</v>
      </c>
      <c r="B7" s="312">
        <v>43617</v>
      </c>
      <c r="C7" s="220">
        <v>45729</v>
      </c>
      <c r="D7" s="313" t="s">
        <v>265</v>
      </c>
      <c r="E7" s="313">
        <v>25.5</v>
      </c>
      <c r="F7" s="313">
        <v>1.19</v>
      </c>
      <c r="G7" s="215">
        <f t="shared" si="0"/>
        <v>18.007202881152462</v>
      </c>
      <c r="H7" s="233" t="s">
        <v>271</v>
      </c>
      <c r="I7" s="233" t="s">
        <v>277</v>
      </c>
      <c r="J7" s="233" t="s">
        <v>271</v>
      </c>
      <c r="K7" s="217" t="s">
        <v>288</v>
      </c>
      <c r="L7" s="161"/>
      <c r="M7" s="186" t="s">
        <v>17</v>
      </c>
      <c r="N7" s="170"/>
      <c r="O7" s="170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</row>
    <row r="8" spans="1:26" ht="14.25" customHeight="1">
      <c r="A8" s="311" t="s">
        <v>217</v>
      </c>
      <c r="B8" s="312">
        <v>43873</v>
      </c>
      <c r="C8" s="220">
        <v>45729</v>
      </c>
      <c r="D8" s="313" t="s">
        <v>266</v>
      </c>
      <c r="E8" s="313">
        <v>18.3</v>
      </c>
      <c r="F8" s="313">
        <v>1.0900000000000001</v>
      </c>
      <c r="G8" s="384">
        <f t="shared" si="0"/>
        <v>15.402743876778047</v>
      </c>
      <c r="H8" s="226" t="s">
        <v>275</v>
      </c>
      <c r="I8" s="226">
        <v>50</v>
      </c>
      <c r="J8" s="226" t="s">
        <v>274</v>
      </c>
      <c r="K8" s="226" t="s">
        <v>290</v>
      </c>
      <c r="L8" s="161"/>
      <c r="M8" s="186" t="s">
        <v>18</v>
      </c>
      <c r="N8" s="170">
        <f>SUM(N5:N7)</f>
        <v>9</v>
      </c>
      <c r="O8" s="170">
        <f>SUM(O5:O7)</f>
        <v>2</v>
      </c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</row>
    <row r="9" spans="1:26" ht="14.25" customHeight="1">
      <c r="A9" s="311" t="s">
        <v>218</v>
      </c>
      <c r="B9" s="312">
        <v>43817</v>
      </c>
      <c r="C9" s="220">
        <v>45729</v>
      </c>
      <c r="D9" s="383" t="s">
        <v>267</v>
      </c>
      <c r="E9" s="313">
        <v>18.899999999999999</v>
      </c>
      <c r="F9" s="383">
        <v>1.1000000000000001</v>
      </c>
      <c r="G9" s="215">
        <f t="shared" si="0"/>
        <v>15.619834710743799</v>
      </c>
      <c r="H9" s="217" t="s">
        <v>275</v>
      </c>
      <c r="I9" s="217" t="s">
        <v>275</v>
      </c>
      <c r="J9" s="217" t="s">
        <v>274</v>
      </c>
      <c r="K9" s="217" t="s">
        <v>290</v>
      </c>
      <c r="L9" s="171"/>
      <c r="M9" s="186" t="s">
        <v>19</v>
      </c>
      <c r="N9" s="206"/>
      <c r="O9" s="207">
        <f>SUM(N8:O8)</f>
        <v>11</v>
      </c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</row>
    <row r="10" spans="1:26" ht="14.25" customHeight="1">
      <c r="A10" s="311" t="s">
        <v>219</v>
      </c>
      <c r="B10" s="312">
        <v>43580</v>
      </c>
      <c r="C10" s="220">
        <v>45729</v>
      </c>
      <c r="D10" s="313" t="s">
        <v>264</v>
      </c>
      <c r="E10" s="313">
        <v>23.2</v>
      </c>
      <c r="F10" s="313">
        <v>1.1599999999999999</v>
      </c>
      <c r="G10" s="215">
        <f t="shared" si="0"/>
        <v>17.241379310344829</v>
      </c>
      <c r="H10" s="385" t="s">
        <v>271</v>
      </c>
      <c r="I10" s="385">
        <v>85</v>
      </c>
      <c r="J10" s="385" t="s">
        <v>275</v>
      </c>
      <c r="K10" s="226" t="s">
        <v>288</v>
      </c>
      <c r="L10" s="173"/>
      <c r="M10" s="192"/>
      <c r="N10" s="193"/>
      <c r="O10" s="193"/>
      <c r="P10" s="171"/>
      <c r="Q10" s="161"/>
      <c r="R10" s="161"/>
      <c r="S10" s="161"/>
      <c r="T10" s="161"/>
      <c r="U10" s="161"/>
      <c r="V10" s="161"/>
      <c r="W10" s="161"/>
      <c r="X10" s="161"/>
      <c r="Y10" s="161"/>
      <c r="Z10" s="161"/>
    </row>
    <row r="11" spans="1:26" ht="14.25" customHeight="1">
      <c r="A11" s="436" t="s">
        <v>111</v>
      </c>
      <c r="B11" s="408">
        <v>43602</v>
      </c>
      <c r="C11" s="409" t="s">
        <v>286</v>
      </c>
      <c r="D11" s="439"/>
      <c r="E11" s="439"/>
      <c r="F11" s="439"/>
      <c r="G11" s="414" t="e">
        <f t="shared" si="0"/>
        <v>#DIV/0!</v>
      </c>
      <c r="H11" s="413"/>
      <c r="I11" s="413"/>
      <c r="J11" s="413"/>
      <c r="K11" s="410"/>
      <c r="L11" s="173"/>
      <c r="M11" s="192"/>
      <c r="N11" s="193"/>
      <c r="O11" s="193"/>
      <c r="P11" s="171"/>
      <c r="Q11" s="161"/>
      <c r="R11" s="161"/>
      <c r="S11" s="161"/>
      <c r="T11" s="161"/>
      <c r="U11" s="161"/>
      <c r="V11" s="161"/>
      <c r="W11" s="161"/>
      <c r="X11" s="161"/>
      <c r="Y11" s="161"/>
      <c r="Z11" s="161"/>
    </row>
    <row r="12" spans="1:26" ht="14.25" customHeight="1">
      <c r="A12" s="356" t="s">
        <v>112</v>
      </c>
      <c r="B12" s="249">
        <v>43673</v>
      </c>
      <c r="C12" s="244">
        <v>45729</v>
      </c>
      <c r="D12" s="381" t="s">
        <v>268</v>
      </c>
      <c r="E12" s="374">
        <v>24.2</v>
      </c>
      <c r="F12" s="381">
        <v>1.2</v>
      </c>
      <c r="G12" s="97">
        <f t="shared" si="0"/>
        <v>16.805555555555557</v>
      </c>
      <c r="H12" s="374" t="s">
        <v>271</v>
      </c>
      <c r="I12" s="374" t="s">
        <v>271</v>
      </c>
      <c r="J12" s="374" t="s">
        <v>271</v>
      </c>
      <c r="K12" s="374" t="s">
        <v>288</v>
      </c>
      <c r="L12" s="161"/>
      <c r="M12" s="172"/>
      <c r="N12" s="172"/>
      <c r="O12" s="172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</row>
    <row r="13" spans="1:26" ht="14.25" customHeight="1">
      <c r="A13" s="311" t="s">
        <v>220</v>
      </c>
      <c r="B13" s="312">
        <v>43847</v>
      </c>
      <c r="C13" s="220">
        <v>45729</v>
      </c>
      <c r="D13" s="313" t="s">
        <v>266</v>
      </c>
      <c r="E13" s="314">
        <v>18</v>
      </c>
      <c r="F13" s="313">
        <v>1.1100000000000001</v>
      </c>
      <c r="G13" s="215">
        <f t="shared" si="0"/>
        <v>14.609203798392985</v>
      </c>
      <c r="H13" s="233" t="s">
        <v>274</v>
      </c>
      <c r="I13" s="233" t="s">
        <v>274</v>
      </c>
      <c r="J13" s="233" t="s">
        <v>275</v>
      </c>
      <c r="K13" s="217" t="s">
        <v>290</v>
      </c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</row>
    <row r="14" spans="1:26" ht="14.25" customHeight="1">
      <c r="A14" s="311" t="s">
        <v>113</v>
      </c>
      <c r="B14" s="312">
        <v>43919</v>
      </c>
      <c r="C14" s="220">
        <v>45729</v>
      </c>
      <c r="D14" s="313" t="s">
        <v>258</v>
      </c>
      <c r="E14" s="313">
        <v>22.9</v>
      </c>
      <c r="F14" s="313">
        <v>1.17</v>
      </c>
      <c r="G14" s="215">
        <f t="shared" si="0"/>
        <v>16.728760318503909</v>
      </c>
      <c r="H14" s="233" t="s">
        <v>269</v>
      </c>
      <c r="I14" s="233" t="s">
        <v>271</v>
      </c>
      <c r="J14" s="233" t="s">
        <v>277</v>
      </c>
      <c r="K14" s="217" t="s">
        <v>290</v>
      </c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</row>
    <row r="15" spans="1:26" ht="14.25" customHeight="1">
      <c r="A15" s="311" t="s">
        <v>221</v>
      </c>
      <c r="B15" s="312">
        <v>43679</v>
      </c>
      <c r="C15" s="220">
        <v>45729</v>
      </c>
      <c r="D15" s="313" t="s">
        <v>268</v>
      </c>
      <c r="E15" s="313">
        <v>20.5</v>
      </c>
      <c r="F15" s="313">
        <v>1.1200000000000001</v>
      </c>
      <c r="G15" s="215">
        <f t="shared" si="0"/>
        <v>16.342474489795915</v>
      </c>
      <c r="H15" s="217">
        <v>75</v>
      </c>
      <c r="I15" s="217" t="s">
        <v>275</v>
      </c>
      <c r="J15" s="217" t="s">
        <v>274</v>
      </c>
      <c r="K15" s="217" t="s">
        <v>290</v>
      </c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</row>
    <row r="16" spans="1:26" ht="14.25" customHeight="1">
      <c r="A16" s="459" t="s">
        <v>222</v>
      </c>
      <c r="B16" s="424">
        <v>43773</v>
      </c>
      <c r="C16" s="417" t="s">
        <v>286</v>
      </c>
      <c r="D16" s="460"/>
      <c r="E16" s="460"/>
      <c r="F16" s="460"/>
      <c r="G16" s="420" t="e">
        <f t="shared" si="0"/>
        <v>#DIV/0!</v>
      </c>
      <c r="H16" s="461"/>
      <c r="I16" s="461"/>
      <c r="J16" s="461"/>
      <c r="K16" s="462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</row>
    <row r="17" spans="1:26" ht="14.25" customHeight="1">
      <c r="A17" s="379"/>
      <c r="B17" s="242"/>
      <c r="C17" s="242"/>
      <c r="D17" s="97"/>
      <c r="E17" s="103"/>
      <c r="F17" s="104"/>
      <c r="G17" s="97"/>
      <c r="H17" s="246"/>
      <c r="I17" s="246"/>
      <c r="J17" s="246"/>
      <c r="K17" s="103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</row>
    <row r="18" spans="1:26" ht="14.25" customHeight="1">
      <c r="A18" s="161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</row>
    <row r="19" spans="1:26" ht="14.25" customHeight="1">
      <c r="A19" s="161"/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</row>
    <row r="20" spans="1:26" ht="14.25" customHeight="1">
      <c r="A20" s="161"/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</row>
    <row r="21" spans="1:26" ht="14.25" customHeight="1">
      <c r="A21" s="161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</row>
    <row r="22" spans="1:26" ht="14.25" customHeight="1">
      <c r="A22" s="161"/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</row>
    <row r="23" spans="1:26" ht="14.25" customHeight="1">
      <c r="A23" s="161"/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</row>
    <row r="24" spans="1:26" ht="14.25" customHeight="1">
      <c r="A24" s="161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</row>
    <row r="25" spans="1:26" ht="14.25" customHeight="1">
      <c r="A25" s="161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</row>
    <row r="26" spans="1:26" ht="14.25" customHeight="1">
      <c r="A26" s="161"/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</row>
    <row r="27" spans="1:26" ht="14.25" customHeight="1">
      <c r="A27" s="161"/>
      <c r="B27" s="161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</row>
    <row r="28" spans="1:26" ht="14.25" customHeight="1">
      <c r="A28" s="161"/>
      <c r="B28" s="161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</row>
    <row r="29" spans="1:26" ht="14.25" customHeight="1">
      <c r="A29" s="161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</row>
    <row r="30" spans="1:26" ht="14.25" customHeight="1">
      <c r="A30" s="161"/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</row>
    <row r="31" spans="1:26" ht="14.25" customHeight="1">
      <c r="A31" s="161"/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</row>
    <row r="32" spans="1:26" ht="14.25" customHeight="1">
      <c r="A32" s="161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</row>
    <row r="33" spans="1:26" ht="14.25" customHeight="1">
      <c r="A33" s="161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</row>
    <row r="34" spans="1:26" ht="14.25" customHeight="1">
      <c r="A34" s="161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</row>
    <row r="35" spans="1:26" ht="14.25" customHeight="1">
      <c r="A35" s="161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</row>
    <row r="36" spans="1:26" ht="14.25" customHeight="1">
      <c r="A36" s="161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</row>
    <row r="37" spans="1:26" ht="14.25" customHeight="1">
      <c r="A37" s="161"/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</row>
    <row r="38" spans="1:26" ht="14.25" customHeight="1">
      <c r="A38" s="161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</row>
    <row r="39" spans="1:26" ht="14.25" customHeight="1">
      <c r="A39" s="161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</row>
    <row r="40" spans="1:26" ht="14.25" customHeight="1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</row>
    <row r="41" spans="1:26" ht="14.25" customHeight="1">
      <c r="A41" s="161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</row>
    <row r="42" spans="1:26" ht="14.25" customHeight="1">
      <c r="A42" s="161"/>
      <c r="B42" s="161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</row>
    <row r="43" spans="1:26" ht="14.25" customHeight="1">
      <c r="A43" s="161"/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</row>
    <row r="44" spans="1:26" ht="14.25" customHeight="1">
      <c r="A44" s="161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</row>
    <row r="45" spans="1:26" ht="14.25" customHeight="1">
      <c r="A45" s="161"/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</row>
    <row r="46" spans="1:26" ht="14.25" customHeight="1">
      <c r="A46" s="161"/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</row>
    <row r="47" spans="1:26" ht="14.25" customHeight="1">
      <c r="A47" s="161"/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</row>
    <row r="48" spans="1:26" ht="14.25" customHeight="1">
      <c r="A48" s="161"/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</row>
    <row r="49" spans="1:26" ht="14.25" customHeight="1">
      <c r="A49" s="161"/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</row>
    <row r="50" spans="1:26" ht="14.25" customHeight="1">
      <c r="A50" s="161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</row>
    <row r="51" spans="1:26" ht="14.25" customHeight="1">
      <c r="A51" s="161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</row>
    <row r="52" spans="1:26" ht="14.25" customHeight="1">
      <c r="A52" s="161"/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</row>
    <row r="53" spans="1:26" ht="14.25" customHeight="1">
      <c r="A53" s="161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</row>
    <row r="54" spans="1:26" ht="14.25" customHeight="1">
      <c r="A54" s="161"/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</row>
    <row r="55" spans="1:26" ht="14.25" customHeight="1">
      <c r="A55" s="161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</row>
    <row r="56" spans="1:26" ht="14.25" customHeight="1">
      <c r="A56" s="161"/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</row>
    <row r="57" spans="1:26" ht="14.25" customHeight="1">
      <c r="A57" s="161"/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</row>
    <row r="58" spans="1:26" ht="14.25" customHeight="1">
      <c r="A58" s="161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</row>
    <row r="59" spans="1:26" ht="14.25" customHeight="1">
      <c r="A59" s="161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</row>
    <row r="60" spans="1:26" ht="14.25" customHeight="1">
      <c r="A60" s="161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</row>
    <row r="61" spans="1:26" ht="14.25" customHeight="1">
      <c r="A61" s="161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</row>
    <row r="62" spans="1:26" ht="14.25" customHeight="1">
      <c r="A62" s="161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</row>
    <row r="63" spans="1:26" ht="14.25" customHeight="1">
      <c r="A63" s="161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</row>
    <row r="64" spans="1:26" ht="14.25" customHeight="1">
      <c r="A64" s="161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</row>
    <row r="65" spans="1:26" ht="14.25" customHeight="1">
      <c r="A65" s="161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</row>
    <row r="66" spans="1:26" ht="14.25" customHeight="1">
      <c r="A66" s="161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</row>
    <row r="67" spans="1:26" ht="14.25" customHeight="1">
      <c r="A67" s="161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</row>
    <row r="68" spans="1:26" ht="14.25" customHeight="1">
      <c r="A68" s="161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</row>
    <row r="69" spans="1:26" ht="14.25" customHeight="1">
      <c r="A69" s="161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</row>
    <row r="70" spans="1:26" ht="14.25" customHeight="1">
      <c r="A70" s="161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</row>
    <row r="71" spans="1:26" ht="14.25" customHeight="1">
      <c r="A71" s="161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</row>
    <row r="72" spans="1:26" ht="14.25" customHeight="1">
      <c r="A72" s="161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</row>
    <row r="73" spans="1:26" ht="14.25" customHeight="1">
      <c r="A73" s="161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</row>
    <row r="74" spans="1:26" ht="14.25" customHeight="1">
      <c r="A74" s="161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</row>
    <row r="75" spans="1:26" ht="14.25" customHeight="1">
      <c r="A75" s="161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</row>
    <row r="76" spans="1:26" ht="14.25" customHeight="1">
      <c r="A76" s="16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</row>
    <row r="77" spans="1:26" ht="14.25" customHeight="1">
      <c r="A77" s="161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</row>
    <row r="78" spans="1:26" ht="14.25" customHeight="1">
      <c r="A78" s="161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</row>
    <row r="79" spans="1:26" ht="14.25" customHeight="1">
      <c r="A79" s="161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</row>
    <row r="80" spans="1:26" ht="14.25" customHeight="1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</row>
    <row r="81" spans="1:26" ht="14.25" customHeight="1">
      <c r="A81" s="161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</row>
    <row r="82" spans="1:26" ht="14.25" customHeight="1">
      <c r="A82" s="16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</row>
    <row r="83" spans="1:26" ht="14.25" customHeight="1">
      <c r="A83" s="161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</row>
    <row r="84" spans="1:26" ht="14.25" customHeight="1">
      <c r="A84" s="161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</row>
    <row r="85" spans="1:26" ht="14.25" customHeight="1">
      <c r="A85" s="161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</row>
    <row r="86" spans="1:26" ht="14.25" customHeight="1">
      <c r="A86" s="161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</row>
    <row r="87" spans="1:26" ht="14.25" customHeight="1">
      <c r="A87" s="161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</row>
    <row r="88" spans="1:26" ht="14.25" customHeight="1">
      <c r="A88" s="161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</row>
    <row r="89" spans="1:26" ht="14.25" customHeight="1">
      <c r="A89" s="161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</row>
    <row r="90" spans="1:26" ht="14.25" customHeight="1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</row>
    <row r="91" spans="1:26" ht="14.25" customHeight="1">
      <c r="A91" s="16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</row>
    <row r="92" spans="1:26" ht="14.25" customHeight="1">
      <c r="A92" s="161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</row>
    <row r="93" spans="1:26" ht="14.25" customHeight="1">
      <c r="A93" s="161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</row>
    <row r="94" spans="1:26" ht="14.25" customHeight="1">
      <c r="A94" s="161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</row>
    <row r="95" spans="1:26" ht="14.25" customHeight="1">
      <c r="A95" s="161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</row>
    <row r="96" spans="1:26" ht="14.25" customHeight="1">
      <c r="A96" s="161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</row>
    <row r="97" spans="1:26" ht="14.25" customHeight="1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</row>
    <row r="98" spans="1:26" ht="14.25" customHeight="1">
      <c r="A98" s="161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</row>
    <row r="99" spans="1:26" ht="14.25" customHeight="1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</row>
    <row r="100" spans="1:26" ht="14.25" customHeight="1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</row>
    <row r="101" spans="1:26" ht="14.25" customHeight="1">
      <c r="A101" s="161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</row>
    <row r="102" spans="1:26" ht="14.25" customHeight="1">
      <c r="A102" s="161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</row>
    <row r="103" spans="1:26" ht="14.25" customHeight="1">
      <c r="A103" s="161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</row>
    <row r="104" spans="1:26" ht="14.25" customHeight="1">
      <c r="A104" s="161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</row>
    <row r="105" spans="1:26" ht="14.25" customHeight="1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</row>
    <row r="106" spans="1:26" ht="14.25" customHeight="1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</row>
    <row r="107" spans="1:26" ht="14.25" customHeight="1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</row>
    <row r="108" spans="1:26" ht="14.25" customHeight="1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</row>
    <row r="109" spans="1:26" ht="14.25" customHeight="1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</row>
    <row r="110" spans="1:26" ht="14.25" customHeight="1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</row>
    <row r="111" spans="1:26" ht="14.25" customHeight="1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</row>
    <row r="112" spans="1:26" ht="14.25" customHeight="1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</row>
    <row r="113" spans="1:26" ht="14.25" customHeight="1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</row>
    <row r="114" spans="1:26" ht="14.25" customHeight="1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</row>
    <row r="115" spans="1:26" ht="14.25" customHeight="1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</row>
    <row r="116" spans="1:26" ht="14.25" customHeight="1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</row>
    <row r="117" spans="1:26" ht="14.25" customHeight="1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</row>
    <row r="118" spans="1:26" ht="14.25" customHeight="1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</row>
    <row r="119" spans="1:26" ht="14.25" customHeight="1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</row>
    <row r="120" spans="1:26" ht="14.25" customHeight="1">
      <c r="A120" s="161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</row>
    <row r="121" spans="1:26" ht="14.25" customHeight="1">
      <c r="A121" s="161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</row>
    <row r="122" spans="1:26" ht="14.25" customHeight="1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</row>
    <row r="123" spans="1:26" ht="14.25" customHeight="1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</row>
    <row r="124" spans="1:26" ht="14.25" customHeight="1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</row>
    <row r="125" spans="1:26" ht="14.25" customHeight="1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</row>
    <row r="126" spans="1:26" ht="14.25" customHeight="1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</row>
    <row r="127" spans="1:26" ht="14.25" customHeight="1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</row>
    <row r="128" spans="1:26" ht="14.25" customHeight="1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</row>
    <row r="129" spans="1:26" ht="14.25" customHeight="1">
      <c r="A129" s="161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</row>
    <row r="130" spans="1:26" ht="14.25" customHeight="1">
      <c r="A130" s="161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</row>
    <row r="131" spans="1:26" ht="14.25" customHeight="1">
      <c r="A131" s="161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</row>
    <row r="132" spans="1:26" ht="14.25" customHeight="1">
      <c r="A132" s="16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</row>
    <row r="133" spans="1:26" ht="14.25" customHeight="1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</row>
    <row r="134" spans="1:26" ht="14.25" customHeight="1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</row>
    <row r="135" spans="1:26" ht="14.25" customHeight="1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</row>
    <row r="136" spans="1:26" ht="14.25" customHeight="1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</row>
    <row r="137" spans="1:26" ht="14.25" customHeight="1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</row>
    <row r="138" spans="1:26" ht="14.25" customHeight="1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</row>
    <row r="139" spans="1:26" ht="14.25" customHeight="1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</row>
    <row r="140" spans="1:26" ht="14.25" customHeight="1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</row>
    <row r="141" spans="1:26" ht="14.25" customHeight="1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</row>
    <row r="142" spans="1:26" ht="14.25" customHeight="1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</row>
    <row r="143" spans="1:26" ht="14.25" customHeight="1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</row>
    <row r="144" spans="1:26" ht="14.25" customHeight="1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</row>
    <row r="145" spans="1:26" ht="14.25" customHeight="1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</row>
    <row r="146" spans="1:26" ht="14.25" customHeight="1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</row>
    <row r="147" spans="1:26" ht="14.25" customHeight="1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</row>
    <row r="148" spans="1:26" ht="14.25" customHeight="1">
      <c r="A148" s="161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</row>
    <row r="149" spans="1:26" ht="14.25" customHeight="1">
      <c r="A149" s="161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</row>
    <row r="150" spans="1:26" ht="14.25" customHeight="1">
      <c r="A150" s="161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</row>
    <row r="151" spans="1:26" ht="14.25" customHeight="1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</row>
    <row r="152" spans="1:26" ht="14.25" customHeight="1">
      <c r="A152" s="161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</row>
    <row r="153" spans="1:26" ht="14.25" customHeight="1">
      <c r="A153" s="161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</row>
    <row r="154" spans="1:26" ht="14.25" customHeight="1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</row>
    <row r="155" spans="1:26" ht="14.25" customHeight="1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</row>
    <row r="156" spans="1:26" ht="14.25" customHeight="1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</row>
    <row r="157" spans="1:26" ht="14.25" customHeight="1">
      <c r="A157" s="161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</row>
    <row r="158" spans="1:26" ht="14.25" customHeight="1">
      <c r="A158" s="161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</row>
    <row r="159" spans="1:26" ht="14.25" customHeight="1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</row>
    <row r="160" spans="1:26" ht="14.25" customHeight="1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</row>
    <row r="161" spans="1:26" ht="14.25" customHeight="1">
      <c r="A161" s="161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</row>
    <row r="162" spans="1:26" ht="14.25" customHeight="1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</row>
    <row r="163" spans="1:26" ht="14.25" customHeight="1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</row>
    <row r="164" spans="1:26" ht="14.25" customHeight="1">
      <c r="A164" s="161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</row>
    <row r="165" spans="1:26" ht="14.25" customHeight="1">
      <c r="A165" s="16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</row>
    <row r="166" spans="1:26" ht="14.25" customHeight="1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</row>
    <row r="167" spans="1:26" ht="14.25" customHeight="1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</row>
    <row r="168" spans="1:26" ht="14.25" customHeight="1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</row>
    <row r="169" spans="1:26" ht="14.25" customHeight="1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</row>
    <row r="170" spans="1:26" ht="14.25" customHeight="1">
      <c r="A170" s="161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</row>
    <row r="171" spans="1:26" ht="14.25" customHeight="1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</row>
    <row r="172" spans="1:26" ht="14.25" customHeight="1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</row>
    <row r="173" spans="1:26" ht="14.25" customHeight="1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</row>
    <row r="174" spans="1:26" ht="14.25" customHeight="1">
      <c r="A174" s="161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</row>
    <row r="175" spans="1:26" ht="14.25" customHeight="1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</row>
    <row r="176" spans="1:26" ht="14.25" customHeight="1">
      <c r="A176" s="161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</row>
    <row r="177" spans="1:26" ht="14.25" customHeight="1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</row>
    <row r="178" spans="1:26" ht="14.25" customHeight="1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</row>
    <row r="179" spans="1:26" ht="14.25" customHeight="1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</row>
    <row r="180" spans="1:26" ht="14.25" customHeight="1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</row>
    <row r="181" spans="1:26" ht="14.25" customHeight="1">
      <c r="A181" s="161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</row>
    <row r="182" spans="1:26" ht="14.25" customHeight="1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</row>
    <row r="183" spans="1:26" ht="14.25" customHeight="1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</row>
    <row r="184" spans="1:26" ht="14.25" customHeight="1">
      <c r="A184" s="161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</row>
    <row r="185" spans="1:26" ht="14.25" customHeight="1">
      <c r="A185" s="161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</row>
    <row r="186" spans="1:26" ht="14.25" customHeight="1">
      <c r="A186" s="161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</row>
    <row r="187" spans="1:26" ht="14.25" customHeight="1">
      <c r="A187" s="161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</row>
    <row r="188" spans="1:26" ht="14.25" customHeight="1">
      <c r="A188" s="161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</row>
    <row r="189" spans="1:26" ht="14.25" customHeight="1">
      <c r="A189" s="161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</row>
    <row r="190" spans="1:26" ht="14.25" customHeight="1">
      <c r="A190" s="161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</row>
    <row r="191" spans="1:26" ht="14.25" customHeight="1">
      <c r="A191" s="161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</row>
    <row r="192" spans="1:26" ht="14.25" customHeight="1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</row>
    <row r="193" spans="1:26" ht="14.25" customHeight="1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</row>
    <row r="194" spans="1:26" ht="14.25" customHeight="1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</row>
    <row r="195" spans="1:26" ht="14.25" customHeight="1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</row>
    <row r="196" spans="1:26" ht="14.25" customHeight="1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</row>
    <row r="197" spans="1:26" ht="14.25" customHeight="1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</row>
    <row r="198" spans="1:26" ht="14.25" customHeight="1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</row>
    <row r="199" spans="1:26" ht="14.25" customHeight="1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</row>
    <row r="200" spans="1:26" ht="14.25" customHeight="1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</row>
    <row r="201" spans="1:26" ht="14.25" customHeight="1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</row>
    <row r="202" spans="1:26" ht="14.25" customHeight="1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</row>
    <row r="203" spans="1:26" ht="14.25" customHeight="1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</row>
    <row r="204" spans="1:26" ht="14.25" customHeight="1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</row>
    <row r="205" spans="1:26" ht="14.25" customHeight="1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</row>
    <row r="206" spans="1:26" ht="14.25" customHeight="1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</row>
    <row r="207" spans="1:26" ht="14.25" customHeight="1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</row>
    <row r="208" spans="1:26" ht="14.25" customHeight="1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</row>
    <row r="209" spans="1:26" ht="14.25" customHeight="1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</row>
    <row r="210" spans="1:26" ht="14.25" customHeight="1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</row>
    <row r="211" spans="1:26" ht="14.25" customHeight="1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</row>
    <row r="212" spans="1:26" ht="14.25" customHeight="1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</row>
    <row r="213" spans="1:26" ht="14.25" customHeight="1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</row>
    <row r="214" spans="1:26" ht="14.25" customHeight="1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</row>
    <row r="215" spans="1:26" ht="14.25" customHeight="1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</row>
    <row r="216" spans="1:26" ht="14.25" customHeight="1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</row>
    <row r="217" spans="1:26" ht="14.25" customHeight="1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</row>
    <row r="218" spans="1:26" ht="14.25" customHeight="1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</row>
    <row r="219" spans="1:26" ht="14.25" customHeight="1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</row>
    <row r="220" spans="1:26" ht="14.25" customHeight="1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</row>
    <row r="221" spans="1:26" ht="14.25" customHeight="1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</row>
    <row r="222" spans="1:26" ht="14.25" customHeight="1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</row>
    <row r="223" spans="1:26" ht="14.25" customHeight="1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</row>
    <row r="224" spans="1:26" ht="14.25" customHeight="1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</row>
    <row r="225" spans="1:26" ht="14.25" customHeight="1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</row>
    <row r="226" spans="1:26" ht="14.25" customHeight="1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</row>
    <row r="227" spans="1:26" ht="14.25" customHeight="1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</row>
    <row r="228" spans="1:26" ht="14.25" customHeight="1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</row>
    <row r="229" spans="1:26" ht="14.25" customHeight="1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</row>
    <row r="230" spans="1:26" ht="14.25" customHeight="1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</row>
    <row r="231" spans="1:26" ht="14.25" customHeight="1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</row>
    <row r="232" spans="1:26" ht="14.25" customHeight="1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</row>
    <row r="233" spans="1:26" ht="14.25" customHeight="1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</row>
    <row r="234" spans="1:26" ht="14.25" customHeight="1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</row>
    <row r="235" spans="1:26" ht="14.25" customHeight="1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</row>
    <row r="236" spans="1:26" ht="14.25" customHeight="1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</row>
    <row r="237" spans="1:26" ht="14.25" customHeight="1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</row>
    <row r="238" spans="1:26" ht="14.25" customHeight="1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</row>
    <row r="239" spans="1:26" ht="14.25" customHeight="1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</row>
    <row r="240" spans="1:26" ht="14.25" customHeight="1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</row>
    <row r="241" spans="1:26" ht="14.25" customHeight="1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</row>
    <row r="242" spans="1:26" ht="14.25" customHeight="1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</row>
    <row r="243" spans="1:26" ht="14.25" customHeight="1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</row>
    <row r="244" spans="1:26" ht="14.25" customHeight="1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</row>
    <row r="245" spans="1:26" ht="14.25" customHeight="1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</row>
    <row r="246" spans="1:26" ht="14.25" customHeight="1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</row>
    <row r="247" spans="1:26" ht="14.25" customHeight="1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</row>
    <row r="248" spans="1:26" ht="14.25" customHeight="1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</row>
    <row r="249" spans="1:26" ht="14.25" customHeight="1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</row>
    <row r="250" spans="1:26" ht="14.25" customHeight="1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</row>
    <row r="251" spans="1:26" ht="14.25" customHeight="1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</row>
    <row r="252" spans="1:26" ht="14.25" customHeight="1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</row>
    <row r="253" spans="1:26" ht="14.25" customHeight="1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</row>
    <row r="254" spans="1:26" ht="14.25" customHeight="1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</row>
    <row r="255" spans="1:26" ht="14.25" customHeight="1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</row>
    <row r="256" spans="1:26" ht="14.25" customHeight="1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</row>
    <row r="257" spans="1:26" ht="14.25" customHeight="1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</row>
    <row r="258" spans="1:26" ht="14.25" customHeight="1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</row>
    <row r="259" spans="1:26" ht="14.25" customHeight="1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</row>
    <row r="260" spans="1:26" ht="14.25" customHeight="1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</row>
    <row r="261" spans="1:26" ht="14.25" customHeight="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</row>
    <row r="262" spans="1:26" ht="14.25" customHeight="1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</row>
    <row r="263" spans="1:26" ht="14.25" customHeight="1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</row>
    <row r="264" spans="1:26" ht="14.25" customHeight="1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</row>
    <row r="265" spans="1:26" ht="14.25" customHeight="1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</row>
    <row r="266" spans="1:26" ht="14.25" customHeight="1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</row>
    <row r="267" spans="1:26" ht="14.25" customHeight="1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</row>
    <row r="268" spans="1:26" ht="14.25" customHeight="1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</row>
    <row r="269" spans="1:26" ht="14.25" customHeight="1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</row>
    <row r="270" spans="1:26" ht="14.25" customHeight="1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</row>
    <row r="271" spans="1:26" ht="14.25" customHeight="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</row>
    <row r="272" spans="1:26" ht="14.25" customHeight="1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</row>
    <row r="273" spans="1:26" ht="14.25" customHeight="1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</row>
    <row r="274" spans="1:26" ht="14.25" customHeight="1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</row>
    <row r="275" spans="1:26" ht="14.25" customHeight="1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</row>
    <row r="276" spans="1:26" ht="14.25" customHeight="1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</row>
    <row r="277" spans="1:26" ht="14.25" customHeight="1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</row>
    <row r="278" spans="1:26" ht="14.25" customHeight="1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</row>
    <row r="279" spans="1:26" ht="14.25" customHeight="1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</row>
    <row r="280" spans="1:26" ht="14.25" customHeight="1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</row>
    <row r="281" spans="1:26" ht="14.25" customHeight="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</row>
    <row r="282" spans="1:26" ht="14.25" customHeight="1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</row>
    <row r="283" spans="1:26" ht="14.25" customHeight="1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</row>
    <row r="284" spans="1:26" ht="14.25" customHeight="1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</row>
    <row r="285" spans="1:26" ht="14.25" customHeight="1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</row>
    <row r="286" spans="1:26" ht="14.25" customHeight="1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</row>
    <row r="287" spans="1:26" ht="14.25" customHeight="1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</row>
    <row r="288" spans="1:26" ht="14.25" customHeight="1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</row>
    <row r="289" spans="1:26" ht="14.25" customHeight="1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</row>
    <row r="290" spans="1:26" ht="14.25" customHeight="1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</row>
    <row r="291" spans="1:26" ht="14.25" customHeight="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</row>
    <row r="292" spans="1:26" ht="14.25" customHeight="1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</row>
    <row r="293" spans="1:26" ht="14.25" customHeight="1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</row>
    <row r="294" spans="1:26" ht="14.25" customHeight="1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</row>
    <row r="295" spans="1:26" ht="14.25" customHeight="1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</row>
    <row r="296" spans="1:26" ht="14.25" customHeight="1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</row>
    <row r="297" spans="1:26" ht="14.25" customHeight="1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</row>
    <row r="298" spans="1:26" ht="14.25" customHeight="1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</row>
    <row r="299" spans="1:26" ht="14.25" customHeight="1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</row>
    <row r="300" spans="1:26" ht="14.25" customHeight="1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</row>
    <row r="301" spans="1:26" ht="14.25" customHeight="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</row>
    <row r="302" spans="1:26" ht="14.25" customHeight="1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</row>
    <row r="303" spans="1:26" ht="14.25" customHeight="1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</row>
    <row r="304" spans="1:26" ht="14.25" customHeight="1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</row>
    <row r="305" spans="1:26" ht="14.25" customHeight="1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</row>
    <row r="306" spans="1:26" ht="14.25" customHeight="1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</row>
    <row r="307" spans="1:26" ht="14.25" customHeight="1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</row>
    <row r="308" spans="1:26" ht="14.25" customHeight="1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</row>
    <row r="309" spans="1:26" ht="14.25" customHeight="1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</row>
    <row r="310" spans="1:26" ht="14.25" customHeight="1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</row>
    <row r="311" spans="1:26" ht="14.25" customHeight="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</row>
    <row r="312" spans="1:26" ht="14.25" customHeight="1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</row>
    <row r="313" spans="1:26" ht="14.25" customHeight="1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</row>
    <row r="314" spans="1:26" ht="14.25" customHeight="1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</row>
    <row r="315" spans="1:26" ht="14.25" customHeight="1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</row>
    <row r="316" spans="1:26" ht="14.25" customHeight="1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</row>
    <row r="317" spans="1:26" ht="14.25" customHeight="1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</row>
    <row r="318" spans="1:26" ht="14.25" customHeight="1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</row>
    <row r="319" spans="1:26" ht="14.25" customHeight="1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</row>
    <row r="320" spans="1:26" ht="14.25" customHeight="1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</row>
    <row r="321" spans="1:26" ht="14.25" customHeight="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</row>
    <row r="322" spans="1:26" ht="14.25" customHeight="1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</row>
    <row r="323" spans="1:26" ht="14.25" customHeight="1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</row>
    <row r="324" spans="1:26" ht="14.25" customHeight="1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</row>
    <row r="325" spans="1:26" ht="14.25" customHeight="1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</row>
    <row r="326" spans="1:26" ht="14.25" customHeight="1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</row>
    <row r="327" spans="1:26" ht="14.25" customHeight="1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</row>
    <row r="328" spans="1:26" ht="14.25" customHeight="1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</row>
    <row r="329" spans="1:26" ht="14.25" customHeight="1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</row>
    <row r="330" spans="1:26" ht="14.25" customHeight="1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</row>
    <row r="331" spans="1:26" ht="14.25" customHeight="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</row>
    <row r="332" spans="1:26" ht="14.25" customHeight="1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</row>
    <row r="333" spans="1:26" ht="14.25" customHeight="1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</row>
    <row r="334" spans="1:26" ht="14.25" customHeight="1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</row>
    <row r="335" spans="1:26" ht="14.25" customHeight="1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</row>
    <row r="336" spans="1:26" ht="14.25" customHeight="1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</row>
    <row r="337" spans="1:26" ht="14.25" customHeight="1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</row>
    <row r="338" spans="1:26" ht="14.25" customHeight="1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</row>
    <row r="339" spans="1:26" ht="14.25" customHeight="1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</row>
    <row r="340" spans="1:26" ht="14.25" customHeight="1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</row>
    <row r="341" spans="1:26" ht="14.25" customHeight="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</row>
    <row r="342" spans="1:26" ht="14.25" customHeight="1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</row>
    <row r="343" spans="1:26" ht="14.25" customHeight="1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</row>
    <row r="344" spans="1:26" ht="14.25" customHeight="1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</row>
    <row r="345" spans="1:26" ht="14.25" customHeight="1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</row>
    <row r="346" spans="1:26" ht="14.25" customHeight="1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</row>
    <row r="347" spans="1:26" ht="14.25" customHeight="1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</row>
    <row r="348" spans="1:26" ht="14.25" customHeight="1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</row>
    <row r="349" spans="1:26" ht="14.25" customHeight="1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</row>
    <row r="350" spans="1:26" ht="14.25" customHeight="1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</row>
    <row r="351" spans="1:26" ht="14.25" customHeight="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</row>
    <row r="352" spans="1:26" ht="14.25" customHeight="1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</row>
    <row r="353" spans="1:26" ht="14.25" customHeight="1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</row>
    <row r="354" spans="1:26" ht="14.25" customHeight="1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</row>
    <row r="355" spans="1:26" ht="14.25" customHeight="1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</row>
    <row r="356" spans="1:26" ht="14.25" customHeight="1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</row>
    <row r="357" spans="1:26" ht="14.25" customHeight="1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</row>
    <row r="358" spans="1:26" ht="14.25" customHeight="1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</row>
    <row r="359" spans="1:26" ht="14.25" customHeight="1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</row>
    <row r="360" spans="1:26" ht="14.25" customHeight="1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</row>
    <row r="361" spans="1:26" ht="14.25" customHeight="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</row>
    <row r="362" spans="1:26" ht="14.25" customHeight="1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</row>
    <row r="363" spans="1:26" ht="14.25" customHeight="1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</row>
    <row r="364" spans="1:26" ht="14.25" customHeight="1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</row>
    <row r="365" spans="1:26" ht="14.25" customHeight="1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</row>
    <row r="366" spans="1:26" ht="14.25" customHeight="1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</row>
    <row r="367" spans="1:26" ht="14.25" customHeight="1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</row>
    <row r="368" spans="1:26" ht="14.25" customHeight="1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</row>
    <row r="369" spans="1:26" ht="14.25" customHeight="1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</row>
    <row r="370" spans="1:26" ht="14.25" customHeight="1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</row>
    <row r="371" spans="1:26" ht="14.25" customHeight="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</row>
    <row r="372" spans="1:26" ht="14.25" customHeight="1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</row>
    <row r="373" spans="1:26" ht="14.25" customHeight="1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</row>
    <row r="374" spans="1:26" ht="14.25" customHeight="1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</row>
    <row r="375" spans="1:26" ht="14.25" customHeight="1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</row>
    <row r="376" spans="1:26" ht="14.25" customHeight="1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</row>
    <row r="377" spans="1:26" ht="14.25" customHeight="1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</row>
    <row r="378" spans="1:26" ht="14.25" customHeight="1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</row>
    <row r="379" spans="1:26" ht="14.25" customHeight="1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</row>
    <row r="380" spans="1:26" ht="14.25" customHeight="1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</row>
    <row r="381" spans="1:26" ht="14.25" customHeight="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</row>
    <row r="382" spans="1:26" ht="14.25" customHeight="1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</row>
    <row r="383" spans="1:26" ht="14.25" customHeight="1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</row>
    <row r="384" spans="1:26" ht="14.25" customHeight="1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</row>
    <row r="385" spans="1:26" ht="14.25" customHeight="1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</row>
    <row r="386" spans="1:26" ht="14.25" customHeight="1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</row>
    <row r="387" spans="1:26" ht="14.25" customHeight="1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</row>
    <row r="388" spans="1:26" ht="14.25" customHeight="1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</row>
    <row r="389" spans="1:26" ht="14.25" customHeight="1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</row>
    <row r="390" spans="1:26" ht="14.25" customHeight="1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</row>
    <row r="391" spans="1:26" ht="14.25" customHeight="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</row>
    <row r="392" spans="1:26" ht="14.25" customHeight="1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</row>
    <row r="393" spans="1:26" ht="14.25" customHeight="1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</row>
    <row r="394" spans="1:26" ht="14.25" customHeight="1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</row>
    <row r="395" spans="1:26" ht="14.25" customHeight="1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</row>
    <row r="396" spans="1:26" ht="14.25" customHeight="1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</row>
    <row r="397" spans="1:26" ht="14.25" customHeight="1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</row>
    <row r="398" spans="1:26" ht="14.25" customHeight="1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</row>
    <row r="399" spans="1:26" ht="14.25" customHeight="1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</row>
    <row r="400" spans="1:26" ht="14.25" customHeight="1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</row>
    <row r="401" spans="1:26" ht="14.25" customHeight="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</row>
    <row r="402" spans="1:26" ht="14.25" customHeight="1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</row>
    <row r="403" spans="1:26" ht="14.25" customHeight="1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</row>
    <row r="404" spans="1:26" ht="14.25" customHeight="1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</row>
    <row r="405" spans="1:26" ht="14.25" customHeight="1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</row>
    <row r="406" spans="1:26" ht="14.25" customHeight="1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</row>
    <row r="407" spans="1:26" ht="14.25" customHeight="1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</row>
    <row r="408" spans="1:26" ht="14.25" customHeight="1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</row>
    <row r="409" spans="1:26" ht="14.25" customHeight="1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</row>
    <row r="410" spans="1:26" ht="14.25" customHeight="1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</row>
    <row r="411" spans="1:26" ht="14.25" customHeight="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</row>
    <row r="412" spans="1:26" ht="14.25" customHeight="1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</row>
    <row r="413" spans="1:26" ht="14.25" customHeight="1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</row>
    <row r="414" spans="1:26" ht="14.25" customHeight="1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</row>
    <row r="415" spans="1:26" ht="14.25" customHeight="1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</row>
    <row r="416" spans="1:26" ht="14.25" customHeight="1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</row>
    <row r="417" spans="1:26" ht="14.25" customHeight="1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</row>
    <row r="418" spans="1:26" ht="14.25" customHeight="1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</row>
    <row r="419" spans="1:26" ht="14.25" customHeight="1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</row>
    <row r="420" spans="1:26" ht="14.25" customHeight="1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</row>
    <row r="421" spans="1:26" ht="14.25" customHeight="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</row>
    <row r="422" spans="1:26" ht="14.25" customHeight="1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</row>
    <row r="423" spans="1:26" ht="14.25" customHeight="1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</row>
    <row r="424" spans="1:26" ht="14.25" customHeight="1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</row>
    <row r="425" spans="1:26" ht="14.25" customHeight="1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</row>
    <row r="426" spans="1:26" ht="14.25" customHeight="1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</row>
    <row r="427" spans="1:26" ht="14.25" customHeight="1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</row>
    <row r="428" spans="1:26" ht="14.25" customHeight="1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</row>
    <row r="429" spans="1:26" ht="14.25" customHeight="1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</row>
    <row r="430" spans="1:26" ht="14.25" customHeight="1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</row>
    <row r="431" spans="1:26" ht="14.25" customHeight="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</row>
    <row r="432" spans="1:26" ht="14.25" customHeight="1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</row>
    <row r="433" spans="1:26" ht="14.25" customHeight="1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</row>
    <row r="434" spans="1:26" ht="14.25" customHeight="1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</row>
    <row r="435" spans="1:26" ht="14.25" customHeight="1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</row>
    <row r="436" spans="1:26" ht="14.25" customHeight="1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</row>
    <row r="437" spans="1:26" ht="14.25" customHeight="1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</row>
    <row r="438" spans="1:26" ht="14.25" customHeight="1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</row>
    <row r="439" spans="1:26" ht="14.25" customHeight="1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</row>
    <row r="440" spans="1:26" ht="14.25" customHeight="1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</row>
    <row r="441" spans="1:26" ht="14.25" customHeight="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</row>
    <row r="442" spans="1:26" ht="14.25" customHeight="1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</row>
    <row r="443" spans="1:26" ht="14.25" customHeight="1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</row>
    <row r="444" spans="1:26" ht="14.25" customHeight="1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</row>
    <row r="445" spans="1:26" ht="14.25" customHeight="1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</row>
    <row r="446" spans="1:26" ht="14.25" customHeight="1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</row>
    <row r="447" spans="1:26" ht="14.25" customHeight="1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</row>
    <row r="448" spans="1:26" ht="14.25" customHeight="1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</row>
    <row r="449" spans="1:26" ht="14.25" customHeight="1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</row>
    <row r="450" spans="1:26" ht="14.25" customHeight="1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</row>
    <row r="451" spans="1:26" ht="14.25" customHeight="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</row>
    <row r="452" spans="1:26" ht="14.25" customHeight="1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</row>
    <row r="453" spans="1:26" ht="14.25" customHeight="1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</row>
    <row r="454" spans="1:26" ht="14.25" customHeight="1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</row>
    <row r="455" spans="1:26" ht="14.25" customHeight="1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</row>
    <row r="456" spans="1:26" ht="14.25" customHeight="1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</row>
    <row r="457" spans="1:26" ht="14.25" customHeight="1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</row>
    <row r="458" spans="1:26" ht="14.25" customHeight="1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</row>
    <row r="459" spans="1:26" ht="14.25" customHeight="1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</row>
    <row r="460" spans="1:26" ht="14.25" customHeight="1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</row>
    <row r="461" spans="1:26" ht="14.25" customHeight="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</row>
    <row r="462" spans="1:26" ht="14.25" customHeight="1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</row>
    <row r="463" spans="1:26" ht="14.25" customHeight="1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</row>
    <row r="464" spans="1:26" ht="14.25" customHeight="1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</row>
    <row r="465" spans="1:26" ht="14.25" customHeight="1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</row>
    <row r="466" spans="1:26" ht="14.25" customHeight="1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</row>
    <row r="467" spans="1:26" ht="14.25" customHeight="1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</row>
    <row r="468" spans="1:26" ht="14.25" customHeight="1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</row>
    <row r="469" spans="1:26" ht="14.25" customHeight="1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</row>
    <row r="470" spans="1:26" ht="14.25" customHeight="1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</row>
    <row r="471" spans="1:26" ht="14.25" customHeight="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</row>
    <row r="472" spans="1:26" ht="14.25" customHeight="1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</row>
    <row r="473" spans="1:26" ht="14.25" customHeight="1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</row>
    <row r="474" spans="1:26" ht="14.25" customHeight="1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</row>
    <row r="475" spans="1:26" ht="14.25" customHeight="1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</row>
    <row r="476" spans="1:26" ht="14.25" customHeight="1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</row>
    <row r="477" spans="1:26" ht="14.25" customHeight="1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</row>
    <row r="478" spans="1:26" ht="14.25" customHeight="1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</row>
    <row r="479" spans="1:26" ht="14.25" customHeight="1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</row>
    <row r="480" spans="1:26" ht="14.25" customHeight="1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</row>
    <row r="481" spans="1:26" ht="14.25" customHeight="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</row>
    <row r="482" spans="1:26" ht="14.25" customHeight="1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</row>
    <row r="483" spans="1:26" ht="14.25" customHeight="1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</row>
    <row r="484" spans="1:26" ht="14.25" customHeight="1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</row>
    <row r="485" spans="1:26" ht="14.25" customHeight="1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</row>
    <row r="486" spans="1:26" ht="14.25" customHeight="1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</row>
    <row r="487" spans="1:26" ht="14.25" customHeight="1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</row>
    <row r="488" spans="1:26" ht="14.25" customHeight="1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</row>
    <row r="489" spans="1:26" ht="14.25" customHeight="1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</row>
    <row r="490" spans="1:26" ht="14.25" customHeight="1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</row>
    <row r="491" spans="1:26" ht="14.25" customHeight="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</row>
    <row r="492" spans="1:26" ht="14.25" customHeight="1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</row>
    <row r="493" spans="1:26" ht="14.25" customHeight="1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</row>
    <row r="494" spans="1:26" ht="14.25" customHeight="1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</row>
    <row r="495" spans="1:26" ht="14.25" customHeight="1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</row>
    <row r="496" spans="1:26" ht="14.25" customHeight="1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</row>
    <row r="497" spans="1:26" ht="14.25" customHeight="1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</row>
    <row r="498" spans="1:26" ht="14.25" customHeight="1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</row>
    <row r="499" spans="1:26" ht="14.25" customHeight="1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</row>
    <row r="500" spans="1:26" ht="14.25" customHeight="1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</row>
    <row r="501" spans="1:26" ht="14.25" customHeight="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</row>
    <row r="502" spans="1:26" ht="14.25" customHeight="1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</row>
    <row r="503" spans="1:26" ht="14.25" customHeight="1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</row>
    <row r="504" spans="1:26" ht="14.25" customHeight="1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</row>
    <row r="505" spans="1:26" ht="14.25" customHeight="1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</row>
    <row r="506" spans="1:26" ht="14.25" customHeight="1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</row>
    <row r="507" spans="1:26" ht="14.25" customHeight="1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</row>
    <row r="508" spans="1:26" ht="14.25" customHeight="1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</row>
    <row r="509" spans="1:26" ht="14.25" customHeight="1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</row>
    <row r="510" spans="1:26" ht="14.25" customHeight="1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</row>
    <row r="511" spans="1:26" ht="14.25" customHeight="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</row>
    <row r="512" spans="1:26" ht="14.25" customHeight="1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</row>
    <row r="513" spans="1:26" ht="14.25" customHeight="1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</row>
    <row r="514" spans="1:26" ht="14.25" customHeight="1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</row>
    <row r="515" spans="1:26" ht="14.25" customHeight="1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</row>
    <row r="516" spans="1:26" ht="14.25" customHeight="1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</row>
    <row r="517" spans="1:26" ht="14.25" customHeight="1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</row>
    <row r="518" spans="1:26" ht="14.25" customHeight="1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</row>
    <row r="519" spans="1:26" ht="14.25" customHeight="1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</row>
    <row r="520" spans="1:26" ht="14.25" customHeight="1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</row>
    <row r="521" spans="1:26" ht="14.25" customHeight="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</row>
    <row r="522" spans="1:26" ht="14.25" customHeight="1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</row>
    <row r="523" spans="1:26" ht="14.25" customHeight="1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</row>
    <row r="524" spans="1:26" ht="14.25" customHeight="1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</row>
    <row r="525" spans="1:26" ht="14.25" customHeight="1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</row>
    <row r="526" spans="1:26" ht="14.25" customHeight="1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</row>
    <row r="527" spans="1:26" ht="14.25" customHeight="1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</row>
    <row r="528" spans="1:26" ht="14.25" customHeight="1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</row>
    <row r="529" spans="1:26" ht="14.25" customHeight="1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</row>
    <row r="530" spans="1:26" ht="14.25" customHeight="1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</row>
    <row r="531" spans="1:26" ht="14.25" customHeight="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</row>
    <row r="532" spans="1:26" ht="14.25" customHeight="1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</row>
    <row r="533" spans="1:26" ht="14.25" customHeight="1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</row>
    <row r="534" spans="1:26" ht="14.25" customHeight="1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</row>
    <row r="535" spans="1:26" ht="14.25" customHeight="1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</row>
    <row r="536" spans="1:26" ht="14.25" customHeight="1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</row>
    <row r="537" spans="1:26" ht="14.25" customHeight="1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</row>
    <row r="538" spans="1:26" ht="14.25" customHeight="1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</row>
    <row r="539" spans="1:26" ht="14.25" customHeight="1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</row>
    <row r="540" spans="1:26" ht="14.25" customHeight="1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</row>
    <row r="541" spans="1:26" ht="14.25" customHeight="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</row>
    <row r="542" spans="1:26" ht="14.25" customHeight="1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</row>
    <row r="543" spans="1:26" ht="14.25" customHeight="1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</row>
    <row r="544" spans="1:26" ht="14.25" customHeight="1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</row>
    <row r="545" spans="1:26" ht="14.25" customHeight="1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</row>
    <row r="546" spans="1:26" ht="14.25" customHeight="1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</row>
    <row r="547" spans="1:26" ht="14.25" customHeight="1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</row>
    <row r="548" spans="1:26" ht="14.25" customHeight="1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</row>
    <row r="549" spans="1:26" ht="14.25" customHeight="1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</row>
    <row r="550" spans="1:26" ht="14.25" customHeight="1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</row>
    <row r="551" spans="1:26" ht="14.25" customHeight="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</row>
    <row r="552" spans="1:26" ht="14.25" customHeight="1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</row>
    <row r="553" spans="1:26" ht="14.25" customHeight="1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</row>
    <row r="554" spans="1:26" ht="14.25" customHeight="1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</row>
    <row r="555" spans="1:26" ht="14.25" customHeight="1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</row>
    <row r="556" spans="1:26" ht="14.25" customHeight="1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</row>
    <row r="557" spans="1:26" ht="14.25" customHeight="1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</row>
    <row r="558" spans="1:26" ht="14.25" customHeight="1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</row>
    <row r="559" spans="1:26" ht="14.25" customHeight="1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</row>
    <row r="560" spans="1:26" ht="14.25" customHeight="1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</row>
    <row r="561" spans="1:26" ht="14.25" customHeight="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</row>
    <row r="562" spans="1:26" ht="14.25" customHeight="1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</row>
    <row r="563" spans="1:26" ht="14.25" customHeight="1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</row>
    <row r="564" spans="1:26" ht="14.25" customHeight="1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</row>
    <row r="565" spans="1:26" ht="14.25" customHeight="1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</row>
    <row r="566" spans="1:26" ht="14.25" customHeight="1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</row>
    <row r="567" spans="1:26" ht="14.25" customHeight="1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</row>
    <row r="568" spans="1:26" ht="14.25" customHeight="1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</row>
    <row r="569" spans="1:26" ht="14.25" customHeight="1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</row>
    <row r="570" spans="1:26" ht="14.25" customHeight="1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</row>
    <row r="571" spans="1:26" ht="14.25" customHeight="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</row>
    <row r="572" spans="1:26" ht="14.25" customHeight="1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</row>
    <row r="573" spans="1:26" ht="14.25" customHeight="1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</row>
    <row r="574" spans="1:26" ht="14.25" customHeight="1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</row>
    <row r="575" spans="1:26" ht="14.25" customHeight="1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</row>
    <row r="576" spans="1:26" ht="14.25" customHeight="1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</row>
    <row r="577" spans="1:26" ht="14.25" customHeight="1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</row>
    <row r="578" spans="1:26" ht="14.25" customHeight="1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</row>
    <row r="579" spans="1:26" ht="14.25" customHeight="1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</row>
    <row r="580" spans="1:26" ht="14.25" customHeight="1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</row>
    <row r="581" spans="1:26" ht="14.25" customHeight="1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</row>
    <row r="582" spans="1:26" ht="14.25" customHeight="1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</row>
    <row r="583" spans="1:26" ht="14.25" customHeight="1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</row>
    <row r="584" spans="1:26" ht="14.25" customHeight="1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</row>
    <row r="585" spans="1:26" ht="14.25" customHeight="1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</row>
    <row r="586" spans="1:26" ht="14.25" customHeight="1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</row>
    <row r="587" spans="1:26" ht="14.25" customHeight="1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</row>
    <row r="588" spans="1:26" ht="14.25" customHeight="1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</row>
    <row r="589" spans="1:26" ht="14.25" customHeight="1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</row>
    <row r="590" spans="1:26" ht="14.25" customHeight="1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</row>
    <row r="591" spans="1:26" ht="14.25" customHeight="1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</row>
    <row r="592" spans="1:26" ht="14.25" customHeight="1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</row>
    <row r="593" spans="1:26" ht="14.25" customHeight="1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</row>
    <row r="594" spans="1:26" ht="14.25" customHeight="1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</row>
    <row r="595" spans="1:26" ht="14.25" customHeight="1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</row>
    <row r="596" spans="1:26" ht="14.25" customHeight="1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</row>
    <row r="597" spans="1:26" ht="14.25" customHeight="1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</row>
    <row r="598" spans="1:26" ht="14.25" customHeight="1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</row>
    <row r="599" spans="1:26" ht="14.25" customHeight="1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</row>
    <row r="600" spans="1:26" ht="14.25" customHeight="1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</row>
    <row r="601" spans="1:26" ht="14.25" customHeight="1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</row>
    <row r="602" spans="1:26" ht="14.25" customHeight="1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</row>
    <row r="603" spans="1:26" ht="14.25" customHeight="1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</row>
    <row r="604" spans="1:26" ht="14.25" customHeight="1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</row>
    <row r="605" spans="1:26" ht="14.25" customHeight="1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</row>
    <row r="606" spans="1:26" ht="14.25" customHeight="1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</row>
    <row r="607" spans="1:26" ht="14.25" customHeight="1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</row>
    <row r="608" spans="1:26" ht="14.25" customHeight="1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</row>
    <row r="609" spans="1:26" ht="14.25" customHeight="1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</row>
    <row r="610" spans="1:26" ht="14.25" customHeight="1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</row>
    <row r="611" spans="1:26" ht="14.25" customHeight="1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</row>
    <row r="612" spans="1:26" ht="14.25" customHeight="1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</row>
    <row r="613" spans="1:26" ht="14.25" customHeight="1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</row>
    <row r="614" spans="1:26" ht="14.25" customHeight="1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</row>
    <row r="615" spans="1:26" ht="14.25" customHeight="1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</row>
    <row r="616" spans="1:26" ht="14.25" customHeight="1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</row>
    <row r="617" spans="1:26" ht="14.25" customHeight="1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</row>
    <row r="618" spans="1:26" ht="14.25" customHeight="1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</row>
    <row r="619" spans="1:26" ht="14.25" customHeight="1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</row>
    <row r="620" spans="1:26" ht="14.25" customHeight="1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</row>
    <row r="621" spans="1:26" ht="14.25" customHeight="1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</row>
    <row r="622" spans="1:26" ht="14.25" customHeight="1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</row>
    <row r="623" spans="1:26" ht="14.25" customHeight="1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</row>
    <row r="624" spans="1:26" ht="14.25" customHeight="1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</row>
    <row r="625" spans="1:26" ht="14.25" customHeight="1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</row>
    <row r="626" spans="1:26" ht="14.25" customHeight="1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</row>
    <row r="627" spans="1:26" ht="14.25" customHeight="1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</row>
    <row r="628" spans="1:26" ht="14.25" customHeight="1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</row>
    <row r="629" spans="1:26" ht="14.25" customHeight="1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</row>
    <row r="630" spans="1:26" ht="14.25" customHeight="1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</row>
    <row r="631" spans="1:26" ht="14.25" customHeight="1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</row>
    <row r="632" spans="1:26" ht="14.25" customHeight="1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</row>
    <row r="633" spans="1:26" ht="14.25" customHeight="1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</row>
    <row r="634" spans="1:26" ht="14.25" customHeight="1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</row>
    <row r="635" spans="1:26" ht="14.25" customHeight="1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</row>
    <row r="636" spans="1:26" ht="14.25" customHeight="1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</row>
    <row r="637" spans="1:26" ht="14.25" customHeight="1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</row>
    <row r="638" spans="1:26" ht="14.25" customHeight="1">
      <c r="A638" s="161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</row>
    <row r="639" spans="1:26" ht="14.25" customHeight="1">
      <c r="A639" s="161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</row>
    <row r="640" spans="1:26" ht="14.25" customHeight="1">
      <c r="A640" s="161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</row>
    <row r="641" spans="1:26" ht="14.25" customHeight="1">
      <c r="A641" s="161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</row>
    <row r="642" spans="1:26" ht="14.25" customHeight="1">
      <c r="A642" s="161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</row>
    <row r="643" spans="1:26" ht="14.25" customHeight="1">
      <c r="A643" s="161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</row>
    <row r="644" spans="1:26" ht="14.25" customHeight="1">
      <c r="A644" s="161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</row>
    <row r="645" spans="1:26" ht="14.25" customHeight="1">
      <c r="A645" s="161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</row>
    <row r="646" spans="1:26" ht="14.25" customHeight="1">
      <c r="A646" s="161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</row>
    <row r="647" spans="1:26" ht="14.25" customHeight="1">
      <c r="A647" s="161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</row>
    <row r="648" spans="1:26" ht="14.25" customHeight="1">
      <c r="A648" s="161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</row>
    <row r="649" spans="1:26" ht="14.25" customHeight="1">
      <c r="A649" s="161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</row>
    <row r="650" spans="1:26" ht="14.25" customHeight="1">
      <c r="A650" s="161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</row>
    <row r="651" spans="1:26" ht="14.25" customHeight="1">
      <c r="A651" s="161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</row>
    <row r="652" spans="1:26" ht="14.25" customHeight="1">
      <c r="A652" s="161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</row>
    <row r="653" spans="1:26" ht="14.25" customHeight="1">
      <c r="A653" s="161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</row>
    <row r="654" spans="1:26" ht="14.25" customHeight="1">
      <c r="A654" s="161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</row>
    <row r="655" spans="1:26" ht="14.25" customHeight="1">
      <c r="A655" s="161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</row>
    <row r="656" spans="1:26" ht="14.25" customHeight="1">
      <c r="A656" s="161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</row>
    <row r="657" spans="1:26" ht="14.25" customHeight="1">
      <c r="A657" s="161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</row>
    <row r="658" spans="1:26" ht="14.25" customHeight="1">
      <c r="A658" s="161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</row>
    <row r="659" spans="1:26" ht="14.25" customHeight="1">
      <c r="A659" s="161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</row>
    <row r="660" spans="1:26" ht="14.25" customHeight="1">
      <c r="A660" s="161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</row>
    <row r="661" spans="1:26" ht="14.25" customHeight="1">
      <c r="A661" s="161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</row>
    <row r="662" spans="1:26" ht="14.25" customHeight="1">
      <c r="A662" s="161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</row>
    <row r="663" spans="1:26" ht="14.25" customHeight="1">
      <c r="A663" s="161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</row>
    <row r="664" spans="1:26" ht="14.25" customHeight="1">
      <c r="A664" s="161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</row>
    <row r="665" spans="1:26" ht="14.25" customHeight="1">
      <c r="A665" s="161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</row>
    <row r="666" spans="1:26" ht="14.25" customHeight="1">
      <c r="A666" s="161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</row>
    <row r="667" spans="1:26" ht="14.25" customHeight="1">
      <c r="A667" s="161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</row>
    <row r="668" spans="1:26" ht="14.25" customHeight="1">
      <c r="A668" s="161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</row>
    <row r="669" spans="1:26" ht="14.25" customHeight="1">
      <c r="A669" s="161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</row>
    <row r="670" spans="1:26" ht="14.25" customHeight="1">
      <c r="A670" s="161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</row>
    <row r="671" spans="1:26" ht="14.25" customHeight="1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</row>
    <row r="672" spans="1:26" ht="14.25" customHeight="1">
      <c r="A672" s="161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</row>
    <row r="673" spans="1:26" ht="14.25" customHeight="1">
      <c r="A673" s="161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</row>
    <row r="674" spans="1:26" ht="14.25" customHeight="1">
      <c r="A674" s="161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</row>
    <row r="675" spans="1:26" ht="14.25" customHeight="1">
      <c r="A675" s="161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</row>
    <row r="676" spans="1:26" ht="14.25" customHeight="1">
      <c r="A676" s="161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</row>
    <row r="677" spans="1:26" ht="14.25" customHeight="1">
      <c r="A677" s="161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</row>
    <row r="678" spans="1:26" ht="14.25" customHeight="1">
      <c r="A678" s="161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</row>
    <row r="679" spans="1:26" ht="14.25" customHeight="1">
      <c r="A679" s="161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</row>
    <row r="680" spans="1:26" ht="14.25" customHeight="1">
      <c r="A680" s="161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</row>
    <row r="681" spans="1:26" ht="14.25" customHeight="1">
      <c r="A681" s="161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</row>
    <row r="682" spans="1:26" ht="14.25" customHeight="1">
      <c r="A682" s="161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</row>
    <row r="683" spans="1:26" ht="14.25" customHeight="1">
      <c r="A683" s="161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</row>
    <row r="684" spans="1:26" ht="14.25" customHeight="1">
      <c r="A684" s="161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</row>
    <row r="685" spans="1:26" ht="14.25" customHeight="1">
      <c r="A685" s="161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</row>
    <row r="686" spans="1:26" ht="14.25" customHeight="1">
      <c r="A686" s="161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</row>
    <row r="687" spans="1:26" ht="14.25" customHeight="1">
      <c r="A687" s="161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</row>
    <row r="688" spans="1:26" ht="14.25" customHeight="1">
      <c r="A688" s="161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</row>
    <row r="689" spans="1:26" ht="14.25" customHeight="1">
      <c r="A689" s="161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</row>
    <row r="690" spans="1:26" ht="14.25" customHeight="1">
      <c r="A690" s="161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</row>
    <row r="691" spans="1:26" ht="14.25" customHeight="1">
      <c r="A691" s="161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</row>
    <row r="692" spans="1:26" ht="14.25" customHeight="1">
      <c r="A692" s="161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</row>
    <row r="693" spans="1:26" ht="14.25" customHeight="1">
      <c r="A693" s="161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</row>
    <row r="694" spans="1:26" ht="14.25" customHeight="1">
      <c r="A694" s="161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</row>
    <row r="695" spans="1:26" ht="14.25" customHeight="1">
      <c r="A695" s="161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</row>
    <row r="696" spans="1:26" ht="14.25" customHeight="1">
      <c r="A696" s="161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</row>
    <row r="697" spans="1:26" ht="14.25" customHeight="1">
      <c r="A697" s="161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</row>
    <row r="698" spans="1:26" ht="14.25" customHeight="1">
      <c r="A698" s="161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</row>
    <row r="699" spans="1:26" ht="14.25" customHeight="1">
      <c r="A699" s="161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</row>
    <row r="700" spans="1:26" ht="14.25" customHeight="1">
      <c r="A700" s="161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</row>
    <row r="701" spans="1:26" ht="14.25" customHeight="1">
      <c r="A701" s="161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</row>
    <row r="702" spans="1:26" ht="14.25" customHeight="1">
      <c r="A702" s="161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</row>
    <row r="703" spans="1:26" ht="14.25" customHeight="1">
      <c r="A703" s="161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</row>
    <row r="704" spans="1:26" ht="14.25" customHeight="1">
      <c r="A704" s="161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</row>
    <row r="705" spans="1:26" ht="14.25" customHeight="1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</row>
    <row r="706" spans="1:26" ht="14.25" customHeight="1">
      <c r="A706" s="161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</row>
    <row r="707" spans="1:26" ht="14.25" customHeight="1">
      <c r="A707" s="161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</row>
    <row r="708" spans="1:26" ht="14.25" customHeight="1">
      <c r="A708" s="161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</row>
    <row r="709" spans="1:26" ht="14.25" customHeight="1">
      <c r="A709" s="161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</row>
    <row r="710" spans="1:26" ht="14.25" customHeight="1">
      <c r="A710" s="161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</row>
    <row r="711" spans="1:26" ht="14.25" customHeight="1">
      <c r="A711" s="161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</row>
    <row r="712" spans="1:26" ht="14.25" customHeight="1">
      <c r="A712" s="161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</row>
    <row r="713" spans="1:26" ht="14.25" customHeight="1">
      <c r="A713" s="161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</row>
    <row r="714" spans="1:26" ht="14.25" customHeight="1">
      <c r="A714" s="161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</row>
    <row r="715" spans="1:26" ht="14.25" customHeight="1">
      <c r="A715" s="161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</row>
    <row r="716" spans="1:26" ht="14.25" customHeight="1">
      <c r="A716" s="161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</row>
    <row r="717" spans="1:26" ht="14.25" customHeight="1">
      <c r="A717" s="161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</row>
    <row r="718" spans="1:26" ht="14.25" customHeight="1">
      <c r="A718" s="161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</row>
    <row r="719" spans="1:26" ht="14.25" customHeight="1">
      <c r="A719" s="161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</row>
    <row r="720" spans="1:26" ht="14.25" customHeight="1">
      <c r="A720" s="161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</row>
    <row r="721" spans="1:26" ht="14.25" customHeight="1">
      <c r="A721" s="161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</row>
    <row r="722" spans="1:26" ht="14.25" customHeight="1">
      <c r="A722" s="161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</row>
    <row r="723" spans="1:26" ht="14.25" customHeight="1">
      <c r="A723" s="161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</row>
    <row r="724" spans="1:26" ht="14.25" customHeight="1">
      <c r="A724" s="161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</row>
    <row r="725" spans="1:26" ht="14.25" customHeight="1">
      <c r="A725" s="161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</row>
    <row r="726" spans="1:26" ht="14.25" customHeight="1">
      <c r="A726" s="161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</row>
    <row r="727" spans="1:26" ht="14.25" customHeight="1">
      <c r="A727" s="161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</row>
    <row r="728" spans="1:26" ht="14.25" customHeight="1">
      <c r="A728" s="161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</row>
    <row r="729" spans="1:26" ht="14.25" customHeight="1">
      <c r="A729" s="161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</row>
    <row r="730" spans="1:26" ht="14.25" customHeight="1">
      <c r="A730" s="161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</row>
    <row r="731" spans="1:26" ht="14.25" customHeight="1">
      <c r="A731" s="161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</row>
    <row r="732" spans="1:26" ht="14.25" customHeight="1">
      <c r="A732" s="161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</row>
    <row r="733" spans="1:26" ht="14.25" customHeight="1">
      <c r="A733" s="161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</row>
    <row r="734" spans="1:26" ht="14.25" customHeight="1">
      <c r="A734" s="161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</row>
    <row r="735" spans="1:26" ht="14.25" customHeight="1">
      <c r="A735" s="161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</row>
    <row r="736" spans="1:26" ht="14.25" customHeight="1">
      <c r="A736" s="161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</row>
    <row r="737" spans="1:26" ht="14.25" customHeight="1">
      <c r="A737" s="161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</row>
    <row r="738" spans="1:26" ht="14.25" customHeight="1">
      <c r="A738" s="161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</row>
    <row r="739" spans="1:26" ht="14.25" customHeight="1">
      <c r="A739" s="161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</row>
    <row r="740" spans="1:26" ht="14.25" customHeight="1">
      <c r="A740" s="161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</row>
    <row r="741" spans="1:26" ht="14.25" customHeight="1">
      <c r="A741" s="161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</row>
    <row r="742" spans="1:26" ht="14.25" customHeight="1">
      <c r="A742" s="161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</row>
    <row r="743" spans="1:26" ht="14.25" customHeight="1">
      <c r="A743" s="161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</row>
    <row r="744" spans="1:26" ht="14.25" customHeight="1">
      <c r="A744" s="161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</row>
    <row r="745" spans="1:26" ht="14.25" customHeight="1">
      <c r="A745" s="161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</row>
    <row r="746" spans="1:26" ht="14.25" customHeight="1">
      <c r="A746" s="161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</row>
    <row r="747" spans="1:26" ht="14.25" customHeight="1">
      <c r="A747" s="161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</row>
    <row r="748" spans="1:26" ht="14.25" customHeight="1">
      <c r="A748" s="161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</row>
    <row r="749" spans="1:26" ht="14.25" customHeight="1">
      <c r="A749" s="161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</row>
    <row r="750" spans="1:26" ht="14.25" customHeight="1">
      <c r="A750" s="161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</row>
    <row r="751" spans="1:26" ht="14.25" customHeight="1">
      <c r="A751" s="161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</row>
    <row r="752" spans="1:26" ht="14.25" customHeight="1">
      <c r="A752" s="161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</row>
    <row r="753" spans="1:26" ht="14.25" customHeight="1">
      <c r="A753" s="161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</row>
    <row r="754" spans="1:26" ht="14.25" customHeight="1">
      <c r="A754" s="161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</row>
    <row r="755" spans="1:26" ht="14.25" customHeight="1">
      <c r="A755" s="161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</row>
    <row r="756" spans="1:26" ht="14.25" customHeight="1">
      <c r="A756" s="161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</row>
    <row r="757" spans="1:26" ht="14.25" customHeight="1">
      <c r="A757" s="161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</row>
    <row r="758" spans="1:26" ht="14.25" customHeight="1">
      <c r="A758" s="161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</row>
    <row r="759" spans="1:26" ht="14.25" customHeight="1">
      <c r="A759" s="161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</row>
    <row r="760" spans="1:26" ht="14.25" customHeight="1">
      <c r="A760" s="161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</row>
    <row r="761" spans="1:26" ht="14.25" customHeight="1">
      <c r="A761" s="161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</row>
    <row r="762" spans="1:26" ht="14.25" customHeight="1">
      <c r="A762" s="161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</row>
    <row r="763" spans="1:26" ht="14.25" customHeight="1">
      <c r="A763" s="161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</row>
    <row r="764" spans="1:26" ht="14.25" customHeight="1">
      <c r="A764" s="161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</row>
    <row r="765" spans="1:26" ht="14.25" customHeight="1">
      <c r="A765" s="161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</row>
    <row r="766" spans="1:26" ht="14.25" customHeight="1">
      <c r="A766" s="161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</row>
    <row r="767" spans="1:26" ht="14.25" customHeight="1">
      <c r="A767" s="161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</row>
    <row r="768" spans="1:26" ht="14.25" customHeight="1">
      <c r="A768" s="161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</row>
    <row r="769" spans="1:26" ht="14.25" customHeight="1">
      <c r="A769" s="161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</row>
    <row r="770" spans="1:26" ht="14.25" customHeight="1">
      <c r="A770" s="161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</row>
    <row r="771" spans="1:26" ht="14.25" customHeight="1">
      <c r="A771" s="161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</row>
    <row r="772" spans="1:26" ht="14.25" customHeight="1">
      <c r="A772" s="161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</row>
    <row r="773" spans="1:26" ht="14.25" customHeight="1">
      <c r="A773" s="161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</row>
    <row r="774" spans="1:26" ht="14.25" customHeight="1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</row>
    <row r="775" spans="1:26" ht="14.25" customHeight="1">
      <c r="A775" s="161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</row>
    <row r="776" spans="1:26" ht="14.25" customHeight="1">
      <c r="A776" s="161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</row>
    <row r="777" spans="1:26" ht="14.25" customHeight="1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</row>
    <row r="778" spans="1:26" ht="14.25" customHeight="1">
      <c r="A778" s="161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</row>
    <row r="779" spans="1:26" ht="14.25" customHeight="1">
      <c r="A779" s="161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</row>
    <row r="780" spans="1:26" ht="14.25" customHeight="1">
      <c r="A780" s="161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</row>
    <row r="781" spans="1:26" ht="14.25" customHeight="1">
      <c r="A781" s="161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</row>
    <row r="782" spans="1:26" ht="14.25" customHeight="1">
      <c r="A782" s="161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</row>
    <row r="783" spans="1:26" ht="14.25" customHeight="1">
      <c r="A783" s="161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</row>
    <row r="784" spans="1:26" ht="14.25" customHeight="1">
      <c r="A784" s="161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</row>
    <row r="785" spans="1:26" ht="14.25" customHeight="1">
      <c r="A785" s="161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</row>
    <row r="786" spans="1:26" ht="14.25" customHeight="1">
      <c r="A786" s="161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</row>
    <row r="787" spans="1:26" ht="14.25" customHeight="1">
      <c r="A787" s="161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</row>
    <row r="788" spans="1:26" ht="14.25" customHeight="1">
      <c r="A788" s="161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</row>
    <row r="789" spans="1:26" ht="14.25" customHeight="1">
      <c r="A789" s="161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</row>
    <row r="790" spans="1:26" ht="14.25" customHeight="1">
      <c r="A790" s="161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</row>
    <row r="791" spans="1:26" ht="14.25" customHeight="1">
      <c r="A791" s="161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</row>
    <row r="792" spans="1:26" ht="14.25" customHeight="1">
      <c r="A792" s="161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</row>
    <row r="793" spans="1:26" ht="14.25" customHeight="1">
      <c r="A793" s="161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</row>
    <row r="794" spans="1:26" ht="14.25" customHeight="1">
      <c r="A794" s="161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</row>
    <row r="795" spans="1:26" ht="14.25" customHeight="1">
      <c r="A795" s="161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</row>
    <row r="796" spans="1:26" ht="14.25" customHeight="1">
      <c r="A796" s="161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</row>
    <row r="797" spans="1:26" ht="14.25" customHeight="1">
      <c r="A797" s="161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</row>
    <row r="798" spans="1:26" ht="14.25" customHeight="1">
      <c r="A798" s="161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</row>
    <row r="799" spans="1:26" ht="14.25" customHeight="1">
      <c r="A799" s="161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</row>
    <row r="800" spans="1:26" ht="14.25" customHeight="1">
      <c r="A800" s="161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</row>
    <row r="801" spans="1:26" ht="14.25" customHeight="1">
      <c r="A801" s="161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</row>
    <row r="802" spans="1:26" ht="14.25" customHeight="1">
      <c r="A802" s="161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</row>
    <row r="803" spans="1:26" ht="14.25" customHeight="1">
      <c r="A803" s="161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</row>
    <row r="804" spans="1:26" ht="14.25" customHeight="1">
      <c r="A804" s="161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</row>
    <row r="805" spans="1:26" ht="14.25" customHeight="1">
      <c r="A805" s="161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</row>
    <row r="806" spans="1:26" ht="14.25" customHeight="1">
      <c r="A806" s="161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</row>
    <row r="807" spans="1:26" ht="14.25" customHeight="1">
      <c r="A807" s="161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</row>
    <row r="808" spans="1:26" ht="14.25" customHeight="1">
      <c r="A808" s="161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</row>
    <row r="809" spans="1:26" ht="14.25" customHeight="1">
      <c r="A809" s="161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</row>
    <row r="810" spans="1:26" ht="14.25" customHeight="1">
      <c r="A810" s="161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</row>
    <row r="811" spans="1:26" ht="14.25" customHeight="1">
      <c r="A811" s="161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</row>
    <row r="812" spans="1:26" ht="14.25" customHeight="1">
      <c r="A812" s="161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</row>
    <row r="813" spans="1:26" ht="14.25" customHeight="1">
      <c r="A813" s="161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</row>
    <row r="814" spans="1:26" ht="14.25" customHeight="1">
      <c r="A814" s="161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</row>
    <row r="815" spans="1:26" ht="14.25" customHeight="1">
      <c r="A815" s="161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</row>
    <row r="816" spans="1:26" ht="14.25" customHeight="1">
      <c r="A816" s="161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</row>
    <row r="817" spans="1:26" ht="14.25" customHeight="1">
      <c r="A817" s="161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</row>
    <row r="818" spans="1:26" ht="14.25" customHeight="1">
      <c r="A818" s="161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</row>
    <row r="819" spans="1:26" ht="14.25" customHeight="1">
      <c r="A819" s="16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</row>
    <row r="820" spans="1:26" ht="14.25" customHeight="1">
      <c r="A820" s="161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</row>
    <row r="821" spans="1:26" ht="14.25" customHeight="1">
      <c r="A821" s="161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</row>
    <row r="822" spans="1:26" ht="14.25" customHeight="1">
      <c r="A822" s="161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</row>
    <row r="823" spans="1:26" ht="14.25" customHeight="1">
      <c r="A823" s="161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</row>
    <row r="824" spans="1:26" ht="14.25" customHeight="1">
      <c r="A824" s="161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</row>
    <row r="825" spans="1:26" ht="14.25" customHeight="1">
      <c r="A825" s="161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</row>
    <row r="826" spans="1:26" ht="14.25" customHeight="1">
      <c r="A826" s="161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</row>
    <row r="827" spans="1:26" ht="14.25" customHeight="1">
      <c r="A827" s="161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</row>
    <row r="828" spans="1:26" ht="14.25" customHeight="1">
      <c r="A828" s="161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</row>
    <row r="829" spans="1:26" ht="14.25" customHeight="1">
      <c r="A829" s="161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</row>
    <row r="830" spans="1:26" ht="14.25" customHeight="1">
      <c r="A830" s="161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</row>
    <row r="831" spans="1:26" ht="14.25" customHeight="1">
      <c r="A831" s="161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</row>
    <row r="832" spans="1:26" ht="14.25" customHeight="1">
      <c r="A832" s="161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</row>
    <row r="833" spans="1:26" ht="14.25" customHeight="1">
      <c r="A833" s="161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</row>
    <row r="834" spans="1:26" ht="14.25" customHeight="1">
      <c r="A834" s="161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</row>
    <row r="835" spans="1:26" ht="14.25" customHeight="1">
      <c r="A835" s="161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</row>
    <row r="836" spans="1:26" ht="14.25" customHeight="1">
      <c r="A836" s="161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</row>
    <row r="837" spans="1:26" ht="14.25" customHeight="1">
      <c r="A837" s="161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</row>
    <row r="838" spans="1:26" ht="14.25" customHeight="1">
      <c r="A838" s="161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</row>
    <row r="839" spans="1:26" ht="14.25" customHeight="1">
      <c r="A839" s="161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</row>
    <row r="840" spans="1:26" ht="14.25" customHeight="1">
      <c r="A840" s="161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</row>
    <row r="841" spans="1:26" ht="14.25" customHeight="1">
      <c r="A841" s="161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</row>
    <row r="842" spans="1:26" ht="14.25" customHeight="1">
      <c r="A842" s="161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</row>
    <row r="843" spans="1:26" ht="14.25" customHeight="1">
      <c r="A843" s="161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</row>
    <row r="844" spans="1:26" ht="14.25" customHeight="1">
      <c r="A844" s="161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</row>
    <row r="845" spans="1:26" ht="14.25" customHeight="1">
      <c r="A845" s="161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</row>
    <row r="846" spans="1:26" ht="14.25" customHeight="1">
      <c r="A846" s="161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</row>
    <row r="847" spans="1:26" ht="14.25" customHeight="1">
      <c r="A847" s="161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</row>
    <row r="848" spans="1:26" ht="14.25" customHeight="1">
      <c r="A848" s="161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</row>
    <row r="849" spans="1:26" ht="14.25" customHeight="1">
      <c r="A849" s="161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</row>
    <row r="850" spans="1:26" ht="14.25" customHeight="1">
      <c r="A850" s="161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</row>
    <row r="851" spans="1:26" ht="14.25" customHeight="1">
      <c r="A851" s="161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</row>
    <row r="852" spans="1:26" ht="14.25" customHeight="1">
      <c r="A852" s="161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</row>
    <row r="853" spans="1:26" ht="14.25" customHeight="1">
      <c r="A853" s="161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</row>
    <row r="854" spans="1:26" ht="14.25" customHeight="1">
      <c r="A854" s="161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</row>
    <row r="855" spans="1:26" ht="14.25" customHeight="1">
      <c r="A855" s="161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</row>
    <row r="856" spans="1:26" ht="14.25" customHeight="1">
      <c r="A856" s="161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</row>
    <row r="857" spans="1:26" ht="14.25" customHeight="1">
      <c r="A857" s="161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</row>
    <row r="858" spans="1:26" ht="14.25" customHeight="1">
      <c r="A858" s="161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</row>
    <row r="859" spans="1:26" ht="14.25" customHeight="1">
      <c r="A859" s="161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</row>
    <row r="860" spans="1:26" ht="14.25" customHeight="1">
      <c r="A860" s="161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</row>
    <row r="861" spans="1:26" ht="14.25" customHeight="1">
      <c r="A861" s="161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</row>
    <row r="862" spans="1:26" ht="14.25" customHeight="1">
      <c r="A862" s="161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</row>
    <row r="863" spans="1:26" ht="14.25" customHeight="1">
      <c r="A863" s="161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</row>
    <row r="864" spans="1:26" ht="14.25" customHeight="1">
      <c r="A864" s="161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</row>
    <row r="865" spans="1:26" ht="14.25" customHeight="1">
      <c r="A865" s="161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</row>
    <row r="866" spans="1:26" ht="14.25" customHeight="1">
      <c r="A866" s="161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</row>
    <row r="867" spans="1:26" ht="14.25" customHeight="1">
      <c r="A867" s="161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</row>
    <row r="868" spans="1:26" ht="14.25" customHeight="1">
      <c r="A868" s="161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</row>
    <row r="869" spans="1:26" ht="14.25" customHeight="1">
      <c r="A869" s="161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</row>
    <row r="870" spans="1:26" ht="14.25" customHeight="1">
      <c r="A870" s="161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</row>
    <row r="871" spans="1:26" ht="14.25" customHeight="1">
      <c r="A871" s="161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</row>
    <row r="872" spans="1:26" ht="14.25" customHeight="1">
      <c r="A872" s="161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</row>
    <row r="873" spans="1:26" ht="14.25" customHeight="1">
      <c r="A873" s="161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</row>
    <row r="874" spans="1:26" ht="14.25" customHeight="1">
      <c r="A874" s="161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</row>
    <row r="875" spans="1:26" ht="14.25" customHeight="1">
      <c r="A875" s="161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</row>
    <row r="876" spans="1:26" ht="14.25" customHeight="1">
      <c r="A876" s="161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</row>
    <row r="877" spans="1:26" ht="14.25" customHeight="1">
      <c r="A877" s="161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</row>
    <row r="878" spans="1:26" ht="14.25" customHeight="1">
      <c r="A878" s="161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</row>
    <row r="879" spans="1:26" ht="14.25" customHeight="1">
      <c r="A879" s="161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</row>
    <row r="880" spans="1:26" ht="14.25" customHeight="1">
      <c r="A880" s="161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</row>
    <row r="881" spans="1:26" ht="14.25" customHeight="1">
      <c r="A881" s="161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</row>
    <row r="882" spans="1:26" ht="14.25" customHeight="1">
      <c r="A882" s="161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</row>
    <row r="883" spans="1:26" ht="14.25" customHeight="1">
      <c r="A883" s="161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</row>
    <row r="884" spans="1:26" ht="14.25" customHeight="1">
      <c r="A884" s="161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</row>
    <row r="885" spans="1:26" ht="14.25" customHeight="1">
      <c r="A885" s="161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</row>
    <row r="886" spans="1:26" ht="14.25" customHeight="1">
      <c r="A886" s="161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</row>
    <row r="887" spans="1:26" ht="14.25" customHeight="1">
      <c r="A887" s="161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</row>
    <row r="888" spans="1:26" ht="14.25" customHeight="1">
      <c r="A888" s="161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</row>
    <row r="889" spans="1:26" ht="14.25" customHeight="1">
      <c r="A889" s="161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</row>
    <row r="890" spans="1:26" ht="14.25" customHeight="1">
      <c r="A890" s="161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</row>
    <row r="891" spans="1:26" ht="14.25" customHeight="1">
      <c r="A891" s="161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</row>
    <row r="892" spans="1:26" ht="14.25" customHeight="1">
      <c r="A892" s="161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</row>
    <row r="893" spans="1:26" ht="14.25" customHeight="1">
      <c r="A893" s="161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</row>
    <row r="894" spans="1:26" ht="14.25" customHeight="1">
      <c r="A894" s="161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</row>
    <row r="895" spans="1:26" ht="14.25" customHeight="1">
      <c r="A895" s="161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</row>
    <row r="896" spans="1:26" ht="14.25" customHeight="1">
      <c r="A896" s="161"/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</row>
    <row r="897" spans="1:26" ht="14.25" customHeight="1">
      <c r="A897" s="161"/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</row>
    <row r="898" spans="1:26" ht="14.25" customHeight="1">
      <c r="A898" s="161"/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</row>
    <row r="899" spans="1:26" ht="14.25" customHeight="1">
      <c r="A899" s="161"/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</row>
    <row r="900" spans="1:26" ht="14.25" customHeight="1">
      <c r="A900" s="161"/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</row>
    <row r="901" spans="1:26" ht="14.25" customHeight="1">
      <c r="A901" s="161"/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</row>
    <row r="902" spans="1:26" ht="14.25" customHeight="1">
      <c r="A902" s="161"/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</row>
    <row r="903" spans="1:26" ht="14.25" customHeight="1">
      <c r="A903" s="161"/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</row>
    <row r="904" spans="1:26" ht="14.25" customHeight="1">
      <c r="A904" s="161"/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</row>
    <row r="905" spans="1:26" ht="14.25" customHeight="1">
      <c r="A905" s="161"/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</row>
    <row r="906" spans="1:26" ht="14.25" customHeight="1">
      <c r="A906" s="161"/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</row>
    <row r="907" spans="1:26" ht="14.25" customHeight="1">
      <c r="A907" s="161"/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</row>
    <row r="908" spans="1:26" ht="14.25" customHeight="1">
      <c r="A908" s="161"/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</row>
    <row r="909" spans="1:26" ht="14.25" customHeight="1">
      <c r="A909" s="161"/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</row>
    <row r="910" spans="1:26" ht="14.25" customHeight="1">
      <c r="A910" s="161"/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</row>
    <row r="911" spans="1:26" ht="14.25" customHeight="1">
      <c r="A911" s="161"/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</row>
    <row r="912" spans="1:26" ht="14.25" customHeight="1">
      <c r="A912" s="161"/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</row>
    <row r="913" spans="1:26" ht="14.25" customHeight="1">
      <c r="A913" s="161"/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</row>
    <row r="914" spans="1:26" ht="14.25" customHeight="1">
      <c r="A914" s="161"/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</row>
    <row r="915" spans="1:26" ht="14.25" customHeight="1">
      <c r="A915" s="161"/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</row>
    <row r="916" spans="1:26" ht="14.25" customHeight="1">
      <c r="A916" s="161"/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</row>
    <row r="917" spans="1:26" ht="14.25" customHeight="1">
      <c r="A917" s="161"/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</row>
    <row r="918" spans="1:26" ht="14.25" customHeight="1">
      <c r="A918" s="161"/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</row>
    <row r="919" spans="1:26" ht="14.25" customHeight="1">
      <c r="A919" s="161"/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</row>
    <row r="920" spans="1:26" ht="14.25" customHeight="1">
      <c r="A920" s="161"/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</row>
    <row r="921" spans="1:26" ht="14.25" customHeight="1">
      <c r="A921" s="161"/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</row>
    <row r="922" spans="1:26" ht="14.25" customHeight="1">
      <c r="A922" s="161"/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</row>
    <row r="923" spans="1:26" ht="14.25" customHeight="1">
      <c r="A923" s="161"/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</row>
    <row r="924" spans="1:26" ht="14.25" customHeight="1">
      <c r="A924" s="161"/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</row>
    <row r="925" spans="1:26" ht="14.25" customHeight="1">
      <c r="A925" s="161"/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</row>
    <row r="926" spans="1:26" ht="14.25" customHeight="1">
      <c r="A926" s="161"/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</row>
    <row r="927" spans="1:26" ht="14.25" customHeight="1">
      <c r="A927" s="161"/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</row>
    <row r="928" spans="1:26" ht="14.25" customHeight="1">
      <c r="A928" s="161"/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</row>
    <row r="929" spans="1:26" ht="14.25" customHeight="1">
      <c r="A929" s="161"/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</row>
    <row r="930" spans="1:26" ht="14.25" customHeight="1">
      <c r="A930" s="161"/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</row>
    <row r="931" spans="1:26" ht="14.25" customHeight="1">
      <c r="A931" s="161"/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</row>
    <row r="932" spans="1:26" ht="14.25" customHeight="1">
      <c r="A932" s="161"/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</row>
    <row r="933" spans="1:26" ht="14.25" customHeight="1">
      <c r="A933" s="161"/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</row>
    <row r="934" spans="1:26" ht="14.25" customHeight="1">
      <c r="A934" s="161"/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</row>
    <row r="935" spans="1:26" ht="14.25" customHeight="1">
      <c r="A935" s="161"/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</row>
    <row r="936" spans="1:26" ht="14.25" customHeight="1">
      <c r="A936" s="161"/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</row>
    <row r="937" spans="1:26" ht="14.25" customHeight="1">
      <c r="A937" s="161"/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</row>
    <row r="938" spans="1:26" ht="14.25" customHeight="1">
      <c r="A938" s="161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</row>
    <row r="939" spans="1:26" ht="14.25" customHeight="1">
      <c r="A939" s="161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</row>
    <row r="940" spans="1:26" ht="14.25" customHeight="1">
      <c r="A940" s="161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</row>
    <row r="941" spans="1:26" ht="14.25" customHeight="1">
      <c r="A941" s="161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</row>
    <row r="942" spans="1:26" ht="14.25" customHeight="1">
      <c r="A942" s="161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</row>
    <row r="943" spans="1:26" ht="14.25" customHeight="1">
      <c r="A943" s="161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</row>
    <row r="944" spans="1:26" ht="14.25" customHeight="1">
      <c r="A944" s="161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</row>
    <row r="945" spans="1:26" ht="14.25" customHeight="1">
      <c r="A945" s="161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</row>
    <row r="946" spans="1:26" ht="14.25" customHeight="1">
      <c r="A946" s="161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</row>
    <row r="947" spans="1:26" ht="14.25" customHeight="1">
      <c r="A947" s="161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</row>
    <row r="948" spans="1:26" ht="14.25" customHeight="1">
      <c r="A948" s="161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</row>
    <row r="949" spans="1:26" ht="14.25" customHeight="1">
      <c r="A949" s="161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</row>
    <row r="950" spans="1:26" ht="14.25" customHeight="1">
      <c r="A950" s="161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</row>
    <row r="951" spans="1:26" ht="14.25" customHeight="1">
      <c r="A951" s="161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</row>
    <row r="952" spans="1:26" ht="14.25" customHeight="1">
      <c r="A952" s="161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</row>
    <row r="953" spans="1:26" ht="14.25" customHeight="1">
      <c r="A953" s="161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</row>
    <row r="954" spans="1:26" ht="14.25" customHeight="1">
      <c r="A954" s="161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</row>
    <row r="955" spans="1:26" ht="14.25" customHeight="1">
      <c r="A955" s="161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</row>
    <row r="956" spans="1:26" ht="14.25" customHeight="1">
      <c r="A956" s="161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</row>
    <row r="957" spans="1:26" ht="14.25" customHeight="1">
      <c r="A957" s="161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</row>
    <row r="958" spans="1:26" ht="14.25" customHeight="1">
      <c r="A958" s="161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</row>
    <row r="959" spans="1:26" ht="14.25" customHeight="1">
      <c r="A959" s="161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</row>
    <row r="960" spans="1:26" ht="14.25" customHeight="1">
      <c r="A960" s="161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</row>
    <row r="961" spans="1:26" ht="14.25" customHeight="1">
      <c r="A961" s="161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</row>
    <row r="962" spans="1:26" ht="14.25" customHeight="1">
      <c r="A962" s="161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</row>
    <row r="963" spans="1:26" ht="14.25" customHeight="1">
      <c r="A963" s="161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</row>
    <row r="964" spans="1:26" ht="14.25" customHeight="1">
      <c r="A964" s="161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</row>
    <row r="965" spans="1:26" ht="14.25" customHeight="1">
      <c r="A965" s="161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</row>
    <row r="966" spans="1:26" ht="14.25" customHeight="1">
      <c r="A966" s="161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</row>
    <row r="967" spans="1:26" ht="14.25" customHeight="1">
      <c r="A967" s="161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</row>
    <row r="968" spans="1:26" ht="14.25" customHeight="1">
      <c r="A968" s="161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</row>
    <row r="969" spans="1:26" ht="14.25" customHeight="1">
      <c r="A969" s="161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</row>
    <row r="970" spans="1:26" ht="14.25" customHeight="1">
      <c r="A970" s="161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</row>
    <row r="971" spans="1:26" ht="14.25" customHeight="1">
      <c r="A971" s="161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</row>
    <row r="972" spans="1:26" ht="14.25" customHeight="1">
      <c r="A972" s="161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</row>
    <row r="973" spans="1:26" ht="14.25" customHeight="1">
      <c r="A973" s="161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</row>
    <row r="974" spans="1:26" ht="14.25" customHeight="1">
      <c r="A974" s="161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</row>
    <row r="975" spans="1:26" ht="14.25" customHeight="1">
      <c r="A975" s="161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</row>
    <row r="976" spans="1:26" ht="14.25" customHeight="1">
      <c r="A976" s="161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</row>
    <row r="977" spans="1:26" ht="14.25" customHeight="1">
      <c r="A977" s="161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</row>
    <row r="978" spans="1:26" ht="14.25" customHeight="1">
      <c r="A978" s="161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</row>
    <row r="979" spans="1:26" ht="14.25" customHeight="1">
      <c r="A979" s="161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</row>
    <row r="980" spans="1:26" ht="14.25" customHeight="1">
      <c r="A980" s="161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</row>
    <row r="981" spans="1:26" ht="14.25" customHeight="1">
      <c r="A981" s="161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</row>
    <row r="982" spans="1:26" ht="14.25" customHeight="1">
      <c r="A982" s="161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</row>
    <row r="983" spans="1:26" ht="14.25" customHeight="1">
      <c r="A983" s="161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</row>
    <row r="984" spans="1:26" ht="14.25" customHeight="1">
      <c r="A984" s="161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</row>
    <row r="985" spans="1:26" ht="14.25" customHeight="1">
      <c r="A985" s="161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</row>
    <row r="986" spans="1:26" ht="14.25" customHeight="1">
      <c r="A986" s="161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</row>
    <row r="987" spans="1:26" ht="14.25" customHeight="1">
      <c r="A987" s="161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</row>
    <row r="988" spans="1:26" ht="14.25" customHeight="1">
      <c r="A988" s="161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</row>
    <row r="989" spans="1:26" ht="14.25" customHeight="1">
      <c r="A989" s="161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</row>
    <row r="990" spans="1:26" ht="14.25" customHeight="1">
      <c r="A990" s="161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</row>
    <row r="991" spans="1:26" ht="14.25" customHeight="1">
      <c r="A991" s="161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</row>
    <row r="992" spans="1:26" ht="14.25" customHeight="1">
      <c r="A992" s="161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</row>
    <row r="993" spans="1:26" ht="14.25" customHeight="1">
      <c r="A993" s="161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</row>
    <row r="994" spans="1:26" ht="14.25" customHeight="1">
      <c r="A994" s="161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</row>
    <row r="995" spans="1:26" ht="14.25" customHeight="1">
      <c r="A995" s="161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</row>
    <row r="996" spans="1:26" ht="14.25" customHeight="1">
      <c r="A996" s="161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</row>
    <row r="997" spans="1:26" ht="14.25" customHeight="1">
      <c r="A997" s="161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</row>
    <row r="998" spans="1:26" ht="14.25" customHeight="1">
      <c r="A998" s="161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</row>
    <row r="999" spans="1:26" ht="14.25" customHeight="1">
      <c r="A999" s="161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</row>
  </sheetData>
  <mergeCells count="1">
    <mergeCell ref="A1:J1"/>
  </mergeCells>
  <pageMargins left="0.511811024" right="0.511811024" top="0.78740157499999996" bottom="0.78740157499999996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BF9000"/>
  </sheetPr>
  <dimension ref="A1:M1000"/>
  <sheetViews>
    <sheetView topLeftCell="A16" workbookViewId="0">
      <selection activeCell="S26" sqref="S26"/>
    </sheetView>
  </sheetViews>
  <sheetFormatPr defaultColWidth="14.44140625" defaultRowHeight="15" customHeight="1"/>
  <cols>
    <col min="1" max="1" width="11.33203125" customWidth="1"/>
    <col min="2" max="2" width="10.77734375" bestFit="1" customWidth="1"/>
    <col min="3" max="3" width="8.6640625" customWidth="1"/>
    <col min="4" max="4" width="6.5546875" customWidth="1"/>
    <col min="5" max="5" width="5.33203125" customWidth="1"/>
    <col min="6" max="6" width="10.77734375" bestFit="1" customWidth="1"/>
    <col min="7" max="7" width="3.88671875" customWidth="1"/>
    <col min="8" max="8" width="11.33203125" customWidth="1"/>
    <col min="9" max="9" width="10.6640625" customWidth="1"/>
    <col min="10" max="11" width="8.6640625" customWidth="1"/>
    <col min="12" max="12" width="4.88671875" customWidth="1"/>
    <col min="13" max="13" width="10.77734375" bestFit="1" customWidth="1"/>
    <col min="14" max="26" width="8.6640625" customWidth="1"/>
  </cols>
  <sheetData>
    <row r="1" spans="1:13" ht="14.25" customHeight="1">
      <c r="A1" s="13" t="s">
        <v>21</v>
      </c>
      <c r="B1" s="484" t="str">
        <f>'Jardim 2B'!A4</f>
        <v>Alice Pombo Ramos</v>
      </c>
      <c r="C1" s="485"/>
      <c r="D1" s="486"/>
      <c r="E1" s="14" t="s">
        <v>22</v>
      </c>
      <c r="F1" s="15">
        <f>'Jardim 2B'!B4</f>
        <v>43895</v>
      </c>
      <c r="H1" s="13" t="s">
        <v>21</v>
      </c>
      <c r="I1" s="484" t="str">
        <f>'Jardim 2B'!A11</f>
        <v>Laís Ozan Canettieri</v>
      </c>
      <c r="J1" s="485"/>
      <c r="K1" s="486"/>
      <c r="L1" s="14" t="s">
        <v>22</v>
      </c>
      <c r="M1" s="15">
        <f>'Jardim 2B'!B11</f>
        <v>43602</v>
      </c>
    </row>
    <row r="2" spans="1:13" ht="14.25" customHeight="1">
      <c r="A2" s="466" t="s">
        <v>23</v>
      </c>
      <c r="B2" s="467"/>
      <c r="C2" s="467"/>
      <c r="D2" s="467"/>
      <c r="E2" s="467"/>
      <c r="F2" s="468"/>
      <c r="H2" s="466" t="s">
        <v>23</v>
      </c>
      <c r="I2" s="467"/>
      <c r="J2" s="467"/>
      <c r="K2" s="467"/>
      <c r="L2" s="467"/>
      <c r="M2" s="468"/>
    </row>
    <row r="3" spans="1:13" ht="14.25" customHeight="1">
      <c r="A3" s="16" t="s">
        <v>24</v>
      </c>
      <c r="B3" s="17">
        <f>'Jardim 2B'!C4</f>
        <v>45729</v>
      </c>
      <c r="C3" s="18" t="s">
        <v>25</v>
      </c>
      <c r="D3" s="469" t="s">
        <v>26</v>
      </c>
      <c r="E3" s="470"/>
      <c r="F3" s="19" t="str">
        <f>'Jardim 2B'!D4</f>
        <v xml:space="preserve">5a </v>
      </c>
      <c r="H3" s="16" t="s">
        <v>24</v>
      </c>
      <c r="I3" s="17" t="str">
        <f>'Jardim 2B'!C11</f>
        <v xml:space="preserve">Faltou </v>
      </c>
      <c r="J3" s="18" t="s">
        <v>25</v>
      </c>
      <c r="K3" s="469" t="s">
        <v>26</v>
      </c>
      <c r="L3" s="470"/>
      <c r="M3" s="19">
        <f>'Jardim 2B'!D11</f>
        <v>0</v>
      </c>
    </row>
    <row r="4" spans="1:13" ht="14.25" customHeight="1">
      <c r="A4" s="20" t="s">
        <v>3</v>
      </c>
      <c r="B4" s="23">
        <f>'Jardim 2B'!E4</f>
        <v>15.6</v>
      </c>
      <c r="C4" s="26" t="str">
        <f>'Jardim 2B'!I4</f>
        <v>5-15.</v>
      </c>
      <c r="D4" s="471"/>
      <c r="E4" s="472"/>
      <c r="F4" s="473"/>
      <c r="H4" s="20" t="s">
        <v>3</v>
      </c>
      <c r="I4" s="25">
        <f>'Jardim 2B'!E11</f>
        <v>0</v>
      </c>
      <c r="J4" s="26">
        <f>'Jardim 2B'!I11</f>
        <v>0</v>
      </c>
      <c r="K4" s="471"/>
      <c r="L4" s="472"/>
      <c r="M4" s="473"/>
    </row>
    <row r="5" spans="1:13" ht="14.25" customHeight="1">
      <c r="A5" s="20" t="s">
        <v>27</v>
      </c>
      <c r="B5" s="21">
        <f>'Jardim 2B'!F4</f>
        <v>1.08</v>
      </c>
      <c r="C5" s="26" t="str">
        <f>'Jardim 2B'!J4</f>
        <v>25-50</v>
      </c>
      <c r="D5" s="474"/>
      <c r="E5" s="475"/>
      <c r="F5" s="476"/>
      <c r="H5" s="20" t="s">
        <v>27</v>
      </c>
      <c r="I5" s="21">
        <f>'Jardim 2B'!F11</f>
        <v>0</v>
      </c>
      <c r="J5" s="26">
        <f>'Jardim 2B'!J11</f>
        <v>0</v>
      </c>
      <c r="K5" s="474"/>
      <c r="L5" s="475"/>
      <c r="M5" s="476"/>
    </row>
    <row r="6" spans="1:13" ht="14.25" customHeight="1">
      <c r="A6" s="20" t="s">
        <v>121</v>
      </c>
      <c r="B6" s="21">
        <f>'Jardim 2B'!G4</f>
        <v>13.374485596707817</v>
      </c>
      <c r="C6" s="26" t="str">
        <f>'Jardim 2B'!H4</f>
        <v>5-15.</v>
      </c>
      <c r="D6" s="477"/>
      <c r="E6" s="478"/>
      <c r="F6" s="479"/>
      <c r="H6" s="20" t="s">
        <v>122</v>
      </c>
      <c r="I6" s="21" t="e">
        <f>'Jardim 2B'!G11</f>
        <v>#DIV/0!</v>
      </c>
      <c r="J6" s="26">
        <f>'Jardim 2B'!H11</f>
        <v>0</v>
      </c>
      <c r="K6" s="477"/>
      <c r="L6" s="478"/>
      <c r="M6" s="479"/>
    </row>
    <row r="7" spans="1:13" ht="14.25" customHeight="1">
      <c r="A7" s="24" t="s">
        <v>30</v>
      </c>
      <c r="B7" s="480" t="str">
        <f>'Jardim 2B'!K4</f>
        <v>ADEQUADO</v>
      </c>
      <c r="C7" s="481"/>
      <c r="D7" s="481"/>
      <c r="E7" s="481"/>
      <c r="F7" s="482"/>
      <c r="H7" s="24" t="s">
        <v>30</v>
      </c>
      <c r="I7" s="480">
        <f>'Jardim 2B'!K11</f>
        <v>0</v>
      </c>
      <c r="J7" s="481"/>
      <c r="K7" s="481"/>
      <c r="L7" s="481"/>
      <c r="M7" s="482"/>
    </row>
    <row r="8" spans="1:13" ht="7.5" customHeight="1"/>
    <row r="9" spans="1:13" ht="14.25" customHeight="1">
      <c r="A9" s="13" t="s">
        <v>21</v>
      </c>
      <c r="B9" s="484" t="str">
        <f>'Jardim 2B'!A5</f>
        <v>Elisa Guimarães Nakaie</v>
      </c>
      <c r="C9" s="485"/>
      <c r="D9" s="486"/>
      <c r="E9" s="14" t="s">
        <v>22</v>
      </c>
      <c r="F9" s="15">
        <f>'Jardim 2B'!B5</f>
        <v>43913</v>
      </c>
      <c r="H9" s="13" t="s">
        <v>21</v>
      </c>
      <c r="I9" s="484" t="str">
        <f>'Jardim 2B'!A12</f>
        <v>Luís dos Santos Nunes</v>
      </c>
      <c r="J9" s="485"/>
      <c r="K9" s="486"/>
      <c r="L9" s="14" t="s">
        <v>22</v>
      </c>
      <c r="M9" s="15">
        <f>'Jardim 2B'!B12</f>
        <v>43673</v>
      </c>
    </row>
    <row r="10" spans="1:13" ht="14.25" customHeight="1">
      <c r="A10" s="466" t="s">
        <v>23</v>
      </c>
      <c r="B10" s="467"/>
      <c r="C10" s="467"/>
      <c r="D10" s="467"/>
      <c r="E10" s="467"/>
      <c r="F10" s="468"/>
      <c r="H10" s="466" t="s">
        <v>23</v>
      </c>
      <c r="I10" s="467"/>
      <c r="J10" s="467"/>
      <c r="K10" s="467"/>
      <c r="L10" s="467"/>
      <c r="M10" s="468"/>
    </row>
    <row r="11" spans="1:13" ht="14.25" customHeight="1">
      <c r="A11" s="16" t="s">
        <v>24</v>
      </c>
      <c r="B11" s="17">
        <f>'Jardim 2B'!C5</f>
        <v>45729</v>
      </c>
      <c r="C11" s="18" t="s">
        <v>25</v>
      </c>
      <c r="D11" s="469" t="s">
        <v>26</v>
      </c>
      <c r="E11" s="470"/>
      <c r="F11" s="19" t="str">
        <f>'Jardim 2B'!D5</f>
        <v>4a 11m</v>
      </c>
      <c r="H11" s="16" t="s">
        <v>24</v>
      </c>
      <c r="I11" s="17">
        <f>'Jardim 2B'!C12</f>
        <v>45729</v>
      </c>
      <c r="J11" s="18" t="s">
        <v>25</v>
      </c>
      <c r="K11" s="469" t="s">
        <v>26</v>
      </c>
      <c r="L11" s="470"/>
      <c r="M11" s="19" t="str">
        <f>'Jardim 2B'!D12</f>
        <v>5a 7m</v>
      </c>
    </row>
    <row r="12" spans="1:13" ht="14.25" customHeight="1">
      <c r="A12" s="20" t="s">
        <v>3</v>
      </c>
      <c r="B12" s="23">
        <f>'Jardim 2B'!E5</f>
        <v>18.399999999999999</v>
      </c>
      <c r="C12" s="26" t="str">
        <f>'Jardim 2B'!I5</f>
        <v>50-75</v>
      </c>
      <c r="D12" s="471"/>
      <c r="E12" s="472"/>
      <c r="F12" s="473"/>
      <c r="H12" s="20" t="s">
        <v>3</v>
      </c>
      <c r="I12" s="25">
        <f>'Jardim 2B'!E12</f>
        <v>24.2</v>
      </c>
      <c r="J12" s="26">
        <f>'Jardim 2B'!I8</f>
        <v>50</v>
      </c>
      <c r="K12" s="483"/>
      <c r="L12" s="472"/>
      <c r="M12" s="473"/>
    </row>
    <row r="13" spans="1:13" ht="14.25" customHeight="1">
      <c r="A13" s="20" t="s">
        <v>27</v>
      </c>
      <c r="B13" s="21">
        <f>'Jardim 2B'!F5</f>
        <v>1.1000000000000001</v>
      </c>
      <c r="C13" s="26" t="str">
        <f>'Jardim 2B'!J5</f>
        <v>50-75</v>
      </c>
      <c r="D13" s="474"/>
      <c r="E13" s="475"/>
      <c r="F13" s="476"/>
      <c r="H13" s="20" t="s">
        <v>27</v>
      </c>
      <c r="I13" s="21">
        <f>'Jardim 2B'!F12</f>
        <v>1.2</v>
      </c>
      <c r="J13" s="26" t="str">
        <f>'Jardim 2B'!J8</f>
        <v>25-50</v>
      </c>
      <c r="K13" s="474"/>
      <c r="L13" s="475"/>
      <c r="M13" s="476"/>
    </row>
    <row r="14" spans="1:13" ht="14.25" customHeight="1">
      <c r="A14" s="20" t="s">
        <v>28</v>
      </c>
      <c r="B14" s="21">
        <f>'Jardim 2B'!G5</f>
        <v>15.206611570247931</v>
      </c>
      <c r="C14" s="26" t="str">
        <f>'Jardim 2B'!H5</f>
        <v>25-50</v>
      </c>
      <c r="D14" s="477"/>
      <c r="E14" s="478"/>
      <c r="F14" s="479"/>
      <c r="H14" s="20" t="s">
        <v>123</v>
      </c>
      <c r="I14" s="25">
        <f>'Jardim 2B'!G12</f>
        <v>16.805555555555557</v>
      </c>
      <c r="J14" s="26" t="str">
        <f>'Jardim 2B'!H8</f>
        <v>50-75</v>
      </c>
      <c r="K14" s="477"/>
      <c r="L14" s="478"/>
      <c r="M14" s="479"/>
    </row>
    <row r="15" spans="1:13" ht="28.8">
      <c r="A15" s="24" t="s">
        <v>30</v>
      </c>
      <c r="B15" s="480" t="str">
        <f>'Jardim 2B'!K5</f>
        <v>ADEQUADO</v>
      </c>
      <c r="C15" s="481"/>
      <c r="D15" s="481"/>
      <c r="E15" s="481"/>
      <c r="F15" s="482"/>
      <c r="H15" s="24" t="s">
        <v>30</v>
      </c>
      <c r="I15" s="480" t="str">
        <f>'Jardim 2B'!K12</f>
        <v>SOBREPESO</v>
      </c>
      <c r="J15" s="481"/>
      <c r="K15" s="481"/>
      <c r="L15" s="481"/>
      <c r="M15" s="482"/>
    </row>
    <row r="16" spans="1:13" ht="6" customHeight="1"/>
    <row r="17" spans="1:13" ht="14.25" customHeight="1">
      <c r="A17" s="13" t="s">
        <v>21</v>
      </c>
      <c r="B17" s="484" t="str">
        <f>'Jardim 2B'!A6</f>
        <v>Fabrício F. R. E. Andriolo</v>
      </c>
      <c r="C17" s="485"/>
      <c r="D17" s="486"/>
      <c r="E17" s="14" t="s">
        <v>22</v>
      </c>
      <c r="F17" s="15">
        <f>'Jardim 2B'!B6</f>
        <v>43881</v>
      </c>
      <c r="H17" s="13" t="s">
        <v>21</v>
      </c>
      <c r="I17" s="484" t="str">
        <f>'Jardim 2B'!A13</f>
        <v>Maria Eduarda G. Ramires</v>
      </c>
      <c r="J17" s="485"/>
      <c r="K17" s="486"/>
      <c r="L17" s="14" t="s">
        <v>22</v>
      </c>
      <c r="M17" s="15">
        <f>'Jardim 2B'!B13</f>
        <v>43847</v>
      </c>
    </row>
    <row r="18" spans="1:13" ht="14.25" customHeight="1">
      <c r="A18" s="466" t="s">
        <v>23</v>
      </c>
      <c r="B18" s="467"/>
      <c r="C18" s="467"/>
      <c r="D18" s="467"/>
      <c r="E18" s="467"/>
      <c r="F18" s="468"/>
      <c r="H18" s="466" t="s">
        <v>23</v>
      </c>
      <c r="I18" s="467"/>
      <c r="J18" s="467"/>
      <c r="K18" s="467"/>
      <c r="L18" s="467"/>
      <c r="M18" s="468"/>
    </row>
    <row r="19" spans="1:13" ht="14.25" customHeight="1">
      <c r="A19" s="16" t="s">
        <v>24</v>
      </c>
      <c r="B19" s="17">
        <f>'Jardim 2B'!C6</f>
        <v>45729</v>
      </c>
      <c r="C19" s="18" t="s">
        <v>25</v>
      </c>
      <c r="D19" s="469" t="s">
        <v>33</v>
      </c>
      <c r="E19" s="470"/>
      <c r="F19" s="19" t="str">
        <f>'Jardim 2B'!D6</f>
        <v xml:space="preserve">5a </v>
      </c>
      <c r="H19" s="16" t="s">
        <v>24</v>
      </c>
      <c r="I19" s="17">
        <f>'Jardim 2B'!C13</f>
        <v>45729</v>
      </c>
      <c r="J19" s="18" t="s">
        <v>25</v>
      </c>
      <c r="K19" s="469" t="s">
        <v>26</v>
      </c>
      <c r="L19" s="470"/>
      <c r="M19" s="19" t="str">
        <f>'Jardim 2B'!D13</f>
        <v>5a 1m</v>
      </c>
    </row>
    <row r="20" spans="1:13" ht="14.25" customHeight="1">
      <c r="A20" s="20" t="s">
        <v>3</v>
      </c>
      <c r="B20" s="23">
        <f>'Jardim 2B'!E6</f>
        <v>17</v>
      </c>
      <c r="C20" s="26" t="str">
        <f>'Jardim 2B'!I6</f>
        <v>25-50</v>
      </c>
      <c r="D20" s="483"/>
      <c r="E20" s="472"/>
      <c r="F20" s="473"/>
      <c r="H20" s="20" t="s">
        <v>3</v>
      </c>
      <c r="I20" s="23">
        <f>'Jardim 2B'!E13</f>
        <v>18</v>
      </c>
      <c r="J20" s="27" t="str">
        <f>'Jardim 2B'!I13</f>
        <v>25-50</v>
      </c>
      <c r="K20" s="483"/>
      <c r="L20" s="472"/>
      <c r="M20" s="473"/>
    </row>
    <row r="21" spans="1:13" ht="14.25" customHeight="1">
      <c r="A21" s="20" t="s">
        <v>27</v>
      </c>
      <c r="B21" s="21">
        <f>'Jardim 2B'!F6</f>
        <v>1.1100000000000001</v>
      </c>
      <c r="C21" s="26" t="str">
        <f>'Jardim 2B'!J6</f>
        <v>50-75</v>
      </c>
      <c r="D21" s="474"/>
      <c r="E21" s="475"/>
      <c r="F21" s="476"/>
      <c r="H21" s="20" t="s">
        <v>27</v>
      </c>
      <c r="I21" s="21">
        <f>'Jardim 2B'!F13</f>
        <v>1.1100000000000001</v>
      </c>
      <c r="J21" s="27" t="str">
        <f>'Jardim 2B'!J13</f>
        <v>50-75</v>
      </c>
      <c r="K21" s="474"/>
      <c r="L21" s="475"/>
      <c r="M21" s="476"/>
    </row>
    <row r="22" spans="1:13" ht="14.25" customHeight="1">
      <c r="A22" s="20" t="s">
        <v>124</v>
      </c>
      <c r="B22" s="25">
        <f>'Jardim 2B'!G6</f>
        <v>13.797581365148931</v>
      </c>
      <c r="C22" s="26" t="str">
        <f>'Jardim 2B'!H6</f>
        <v>5-15.</v>
      </c>
      <c r="D22" s="477"/>
      <c r="E22" s="478"/>
      <c r="F22" s="479"/>
      <c r="H22" s="20" t="s">
        <v>125</v>
      </c>
      <c r="I22" s="25">
        <f>'Jardim 2B'!G13</f>
        <v>14.609203798392985</v>
      </c>
      <c r="J22" s="26" t="str">
        <f>'Jardim 2B'!H13</f>
        <v>25-50</v>
      </c>
      <c r="K22" s="477"/>
      <c r="L22" s="478"/>
      <c r="M22" s="479"/>
    </row>
    <row r="23" spans="1:13" ht="28.8">
      <c r="A23" s="24" t="s">
        <v>30</v>
      </c>
      <c r="B23" s="480" t="str">
        <f>'Jardim 2B'!K6</f>
        <v>ADEQUADO</v>
      </c>
      <c r="C23" s="481"/>
      <c r="D23" s="481"/>
      <c r="E23" s="481"/>
      <c r="F23" s="482"/>
      <c r="H23" s="24" t="s">
        <v>30</v>
      </c>
      <c r="I23" s="480" t="str">
        <f>'Jardim 2B'!K13</f>
        <v>ADEQUADO</v>
      </c>
      <c r="J23" s="481"/>
      <c r="K23" s="481"/>
      <c r="L23" s="481"/>
      <c r="M23" s="482"/>
    </row>
    <row r="24" spans="1:13" ht="8.25" customHeight="1"/>
    <row r="25" spans="1:13" ht="14.25" customHeight="1">
      <c r="A25" s="13" t="s">
        <v>21</v>
      </c>
      <c r="B25" s="484" t="str">
        <f>'Jardim 2B'!A7</f>
        <v>Giulia P. D'Acunto T. Viera</v>
      </c>
      <c r="C25" s="485"/>
      <c r="D25" s="486"/>
      <c r="E25" s="14" t="s">
        <v>22</v>
      </c>
      <c r="F25" s="15">
        <f>'Jardim 2B'!B7</f>
        <v>43617</v>
      </c>
      <c r="H25" s="13" t="s">
        <v>21</v>
      </c>
      <c r="I25" s="484" t="str">
        <f>'Jardim 2B'!A13</f>
        <v>Maria Eduarda G. Ramires</v>
      </c>
      <c r="J25" s="485"/>
      <c r="K25" s="486"/>
      <c r="L25" s="14" t="s">
        <v>22</v>
      </c>
      <c r="M25" s="15">
        <f>'Jardim 2B'!B13</f>
        <v>43847</v>
      </c>
    </row>
    <row r="26" spans="1:13" ht="14.25" customHeight="1">
      <c r="A26" s="466" t="s">
        <v>23</v>
      </c>
      <c r="B26" s="467"/>
      <c r="C26" s="467"/>
      <c r="D26" s="467"/>
      <c r="E26" s="467"/>
      <c r="F26" s="468"/>
      <c r="H26" s="466" t="s">
        <v>23</v>
      </c>
      <c r="I26" s="467"/>
      <c r="J26" s="467"/>
      <c r="K26" s="467"/>
      <c r="L26" s="467"/>
      <c r="M26" s="468"/>
    </row>
    <row r="27" spans="1:13" ht="14.25" customHeight="1">
      <c r="A27" s="16" t="s">
        <v>24</v>
      </c>
      <c r="B27" s="17">
        <f>'Jardim 2B'!C7</f>
        <v>45729</v>
      </c>
      <c r="C27" s="18" t="s">
        <v>25</v>
      </c>
      <c r="D27" s="469" t="s">
        <v>26</v>
      </c>
      <c r="E27" s="470"/>
      <c r="F27" s="19" t="str">
        <f>'Jardim 2B'!D7</f>
        <v>5a 9m</v>
      </c>
      <c r="H27" s="16" t="s">
        <v>24</v>
      </c>
      <c r="I27" s="17">
        <f>'Jardim 2B'!C13</f>
        <v>45729</v>
      </c>
      <c r="J27" s="18" t="s">
        <v>25</v>
      </c>
      <c r="K27" s="469" t="s">
        <v>26</v>
      </c>
      <c r="L27" s="470"/>
      <c r="M27" s="19" t="str">
        <f>'Jardim 2B'!D13</f>
        <v>5a 1m</v>
      </c>
    </row>
    <row r="28" spans="1:13" ht="14.25" customHeight="1">
      <c r="A28" s="20" t="s">
        <v>3</v>
      </c>
      <c r="B28" s="23">
        <f>'Jardim 2B'!E7</f>
        <v>25.5</v>
      </c>
      <c r="C28" s="26" t="str">
        <f>'Jardim 2B'!I7</f>
        <v>95-97</v>
      </c>
      <c r="D28" s="471"/>
      <c r="E28" s="472"/>
      <c r="F28" s="473"/>
      <c r="H28" s="20" t="s">
        <v>3</v>
      </c>
      <c r="I28" s="23">
        <f>'Jardim 2B'!E13</f>
        <v>18</v>
      </c>
      <c r="J28" s="23" t="str">
        <f>'Jardim 2B'!I13</f>
        <v>25-50</v>
      </c>
      <c r="K28" s="483"/>
      <c r="L28" s="472"/>
      <c r="M28" s="473"/>
    </row>
    <row r="29" spans="1:13" ht="14.25" customHeight="1">
      <c r="A29" s="20" t="s">
        <v>27</v>
      </c>
      <c r="B29" s="21">
        <f>'Jardim 2B'!F7</f>
        <v>1.19</v>
      </c>
      <c r="C29" s="26" t="str">
        <f>'Jardim 2B'!J7</f>
        <v>85-95</v>
      </c>
      <c r="D29" s="474"/>
      <c r="E29" s="475"/>
      <c r="F29" s="476"/>
      <c r="H29" s="20" t="s">
        <v>27</v>
      </c>
      <c r="I29" s="23">
        <f>'Jardim 2B'!F13</f>
        <v>1.1100000000000001</v>
      </c>
      <c r="J29" s="23" t="str">
        <f>'Jardim 2B'!J13</f>
        <v>50-75</v>
      </c>
      <c r="K29" s="474"/>
      <c r="L29" s="475"/>
      <c r="M29" s="476"/>
    </row>
    <row r="30" spans="1:13" ht="14.25" customHeight="1">
      <c r="A30" s="20" t="s">
        <v>28</v>
      </c>
      <c r="B30" s="21">
        <f>'Jardim 2B'!G7</f>
        <v>18.007202881152462</v>
      </c>
      <c r="C30" s="26" t="str">
        <f>'Jardim 2B'!H7</f>
        <v>85-95</v>
      </c>
      <c r="D30" s="477"/>
      <c r="E30" s="478"/>
      <c r="F30" s="479"/>
      <c r="H30" s="20" t="s">
        <v>126</v>
      </c>
      <c r="I30" s="25">
        <f>'Jardim 2B'!G13</f>
        <v>14.609203798392985</v>
      </c>
      <c r="J30" s="26" t="str">
        <f>'Jardim 2B'!H13</f>
        <v>25-50</v>
      </c>
      <c r="K30" s="477"/>
      <c r="L30" s="478"/>
      <c r="M30" s="479"/>
    </row>
    <row r="31" spans="1:13" ht="14.25" customHeight="1">
      <c r="A31" s="24" t="s">
        <v>30</v>
      </c>
      <c r="B31" s="480" t="str">
        <f>'Jardim 2B'!K7</f>
        <v>SOBREPESO</v>
      </c>
      <c r="C31" s="481"/>
      <c r="D31" s="481"/>
      <c r="E31" s="481"/>
      <c r="F31" s="482"/>
      <c r="H31" s="24" t="s">
        <v>30</v>
      </c>
      <c r="I31" s="480">
        <f>'Jardim 2B'!R13</f>
        <v>0</v>
      </c>
      <c r="J31" s="481"/>
      <c r="K31" s="481"/>
      <c r="L31" s="481"/>
      <c r="M31" s="482"/>
    </row>
    <row r="32" spans="1:13" ht="14.25" customHeight="1"/>
    <row r="33" spans="1:13" ht="14.25" customHeight="1">
      <c r="A33" s="13" t="s">
        <v>21</v>
      </c>
      <c r="B33" s="487" t="str">
        <f>'Jardim 2B'!A8</f>
        <v>Helena B.Ferreira do Amaral</v>
      </c>
      <c r="C33" s="485"/>
      <c r="D33" s="486"/>
      <c r="E33" s="14" t="s">
        <v>22</v>
      </c>
      <c r="F33" s="15">
        <f>'Jardim 2B'!B8</f>
        <v>43873</v>
      </c>
      <c r="H33" s="13" t="s">
        <v>21</v>
      </c>
      <c r="I33" s="484" t="e">
        <f>'Jardim 2B'!#REF!</f>
        <v>#REF!</v>
      </c>
      <c r="J33" s="485"/>
      <c r="K33" s="486"/>
      <c r="L33" s="14" t="s">
        <v>22</v>
      </c>
      <c r="M33" s="15" t="e">
        <f>'Jardim 2B'!#REF!</f>
        <v>#REF!</v>
      </c>
    </row>
    <row r="34" spans="1:13" ht="14.25" customHeight="1">
      <c r="A34" s="466" t="s">
        <v>23</v>
      </c>
      <c r="B34" s="467"/>
      <c r="C34" s="467"/>
      <c r="D34" s="467"/>
      <c r="E34" s="467"/>
      <c r="F34" s="468"/>
      <c r="H34" s="466" t="s">
        <v>23</v>
      </c>
      <c r="I34" s="467"/>
      <c r="J34" s="467"/>
      <c r="K34" s="467"/>
      <c r="L34" s="467"/>
      <c r="M34" s="468"/>
    </row>
    <row r="35" spans="1:13" ht="14.25" customHeight="1">
      <c r="A35" s="16" t="s">
        <v>24</v>
      </c>
      <c r="B35" s="17">
        <f>'Jardim 2B'!C8</f>
        <v>45729</v>
      </c>
      <c r="C35" s="18" t="s">
        <v>25</v>
      </c>
      <c r="D35" s="469" t="s">
        <v>26</v>
      </c>
      <c r="E35" s="470"/>
      <c r="F35" s="19" t="str">
        <f>'Jardim 2B'!D8</f>
        <v>5a 1m</v>
      </c>
      <c r="H35" s="16" t="s">
        <v>24</v>
      </c>
      <c r="I35" s="17" t="e">
        <f>'Jardim 2B'!#REF!</f>
        <v>#REF!</v>
      </c>
      <c r="J35" s="18" t="s">
        <v>25</v>
      </c>
      <c r="K35" s="469" t="s">
        <v>26</v>
      </c>
      <c r="L35" s="470"/>
      <c r="M35" s="19" t="e">
        <f>'Jardim 2B'!#REF!</f>
        <v>#REF!</v>
      </c>
    </row>
    <row r="36" spans="1:13" ht="14.25" customHeight="1">
      <c r="A36" s="20" t="s">
        <v>3</v>
      </c>
      <c r="B36" s="23">
        <f>'Jardim 2B'!E8</f>
        <v>18.3</v>
      </c>
      <c r="C36" s="27">
        <f>'Jardim 2B'!I8</f>
        <v>50</v>
      </c>
      <c r="D36" s="483"/>
      <c r="E36" s="472"/>
      <c r="F36" s="473"/>
      <c r="H36" s="20" t="s">
        <v>3</v>
      </c>
      <c r="I36" s="23" t="e">
        <f>'Jardim 2B'!#REF!</f>
        <v>#REF!</v>
      </c>
      <c r="J36" s="26" t="e">
        <f>'Jardim 2B'!#REF!</f>
        <v>#REF!</v>
      </c>
      <c r="K36" s="483"/>
      <c r="L36" s="472"/>
      <c r="M36" s="473"/>
    </row>
    <row r="37" spans="1:13" ht="14.25" customHeight="1">
      <c r="A37" s="20" t="s">
        <v>27</v>
      </c>
      <c r="B37" s="21">
        <f>'Jardim 2B'!F8</f>
        <v>1.0900000000000001</v>
      </c>
      <c r="C37" s="26" t="str">
        <f>'Jardim 2B'!J8</f>
        <v>25-50</v>
      </c>
      <c r="D37" s="474"/>
      <c r="E37" s="475"/>
      <c r="F37" s="476"/>
      <c r="H37" s="20" t="s">
        <v>27</v>
      </c>
      <c r="I37" s="23" t="e">
        <f>'Jardim 2B'!#REF!</f>
        <v>#REF!</v>
      </c>
      <c r="J37" s="26" t="e">
        <f>'Jardim 2B'!#REF!</f>
        <v>#REF!</v>
      </c>
      <c r="K37" s="474"/>
      <c r="L37" s="475"/>
      <c r="M37" s="476"/>
    </row>
    <row r="38" spans="1:13" ht="14.25" customHeight="1">
      <c r="A38" s="20" t="s">
        <v>127</v>
      </c>
      <c r="B38" s="25">
        <f>'Jardim 2B'!G8</f>
        <v>15.402743876778047</v>
      </c>
      <c r="C38" s="26" t="str">
        <f>'Jardim 2B'!H8</f>
        <v>50-75</v>
      </c>
      <c r="D38" s="477"/>
      <c r="E38" s="478"/>
      <c r="F38" s="479"/>
      <c r="H38" s="20" t="s">
        <v>128</v>
      </c>
      <c r="I38" s="25" t="e">
        <f>'Jardim 2B'!#REF!</f>
        <v>#REF!</v>
      </c>
      <c r="J38" s="26" t="e">
        <f>'Jardim 2B'!#REF!</f>
        <v>#REF!</v>
      </c>
      <c r="K38" s="477"/>
      <c r="L38" s="478"/>
      <c r="M38" s="479"/>
    </row>
    <row r="39" spans="1:13" ht="28.8">
      <c r="A39" s="24" t="s">
        <v>30</v>
      </c>
      <c r="B39" s="480" t="str">
        <f>'Jardim 2B'!K8</f>
        <v>ADEQUADO</v>
      </c>
      <c r="C39" s="481"/>
      <c r="D39" s="481"/>
      <c r="E39" s="481"/>
      <c r="F39" s="482"/>
      <c r="H39" s="24" t="s">
        <v>30</v>
      </c>
      <c r="I39" s="480" t="e">
        <f>'Jardim 2B'!#REF!</f>
        <v>#REF!</v>
      </c>
      <c r="J39" s="481"/>
      <c r="K39" s="481"/>
      <c r="L39" s="481"/>
      <c r="M39" s="482"/>
    </row>
    <row r="40" spans="1:13" ht="14.25" customHeight="1" thickBot="1"/>
    <row r="41" spans="1:13" ht="14.25" customHeight="1">
      <c r="A41" s="13" t="s">
        <v>21</v>
      </c>
      <c r="B41" s="487" t="str">
        <f>'Jardim 2B'!A9</f>
        <v>Helena D. P. de Oliveira</v>
      </c>
      <c r="C41" s="485"/>
      <c r="D41" s="486"/>
      <c r="E41" s="14" t="s">
        <v>22</v>
      </c>
      <c r="F41" s="15">
        <f>'Jardim 2B'!B9</f>
        <v>43817</v>
      </c>
    </row>
    <row r="42" spans="1:13" ht="14.25" customHeight="1">
      <c r="A42" s="466" t="s">
        <v>23</v>
      </c>
      <c r="B42" s="467"/>
      <c r="C42" s="467"/>
      <c r="D42" s="467"/>
      <c r="E42" s="467"/>
      <c r="F42" s="468"/>
    </row>
    <row r="43" spans="1:13" ht="14.25" customHeight="1">
      <c r="A43" s="16" t="s">
        <v>24</v>
      </c>
      <c r="B43" s="17">
        <f>'Jardim 2B'!C9</f>
        <v>45729</v>
      </c>
      <c r="C43" s="18" t="s">
        <v>25</v>
      </c>
      <c r="D43" s="469" t="s">
        <v>26</v>
      </c>
      <c r="E43" s="470"/>
      <c r="F43" s="19" t="str">
        <f>'Jardim 2B'!D9</f>
        <v>5a 2m</v>
      </c>
    </row>
    <row r="44" spans="1:13" ht="14.25" customHeight="1">
      <c r="A44" s="20" t="s">
        <v>3</v>
      </c>
      <c r="B44" s="23">
        <f>'Jardim 2B'!E9</f>
        <v>18.899999999999999</v>
      </c>
      <c r="C44" s="27" t="str">
        <f>'Jardim 2B'!I9</f>
        <v>50-75</v>
      </c>
      <c r="D44" s="483"/>
      <c r="E44" s="472"/>
      <c r="F44" s="473"/>
    </row>
    <row r="45" spans="1:13" ht="14.25" customHeight="1">
      <c r="A45" s="20" t="s">
        <v>27</v>
      </c>
      <c r="B45" s="21">
        <f>'Jardim 2B'!F9</f>
        <v>1.1000000000000001</v>
      </c>
      <c r="C45" s="26" t="str">
        <f>'Jardim 2B'!J9</f>
        <v>25-50</v>
      </c>
      <c r="D45" s="474"/>
      <c r="E45" s="475"/>
      <c r="F45" s="476"/>
    </row>
    <row r="46" spans="1:13" ht="14.25" customHeight="1">
      <c r="A46" s="20" t="s">
        <v>28</v>
      </c>
      <c r="B46" s="25">
        <f>'Jardim 2B'!G9</f>
        <v>15.619834710743799</v>
      </c>
      <c r="C46" s="26" t="str">
        <f>'Jardim 2B'!H9</f>
        <v>50-75</v>
      </c>
      <c r="D46" s="477"/>
      <c r="E46" s="478"/>
      <c r="F46" s="479"/>
    </row>
    <row r="47" spans="1:13" ht="29.4" thickBot="1">
      <c r="A47" s="24" t="s">
        <v>30</v>
      </c>
      <c r="B47" s="480" t="str">
        <f>'Jardim 2B'!K9</f>
        <v>ADEQUADO</v>
      </c>
      <c r="C47" s="481"/>
      <c r="D47" s="481"/>
      <c r="E47" s="481"/>
      <c r="F47" s="482"/>
    </row>
    <row r="48" spans="1:13" ht="14.25" customHeight="1" thickBot="1"/>
    <row r="49" spans="1:6" ht="14.25" customHeight="1">
      <c r="A49" s="13" t="s">
        <v>21</v>
      </c>
      <c r="B49" s="487" t="str">
        <f>'Jardim 2B'!A10</f>
        <v>Heloisa Paiva Fudimori</v>
      </c>
      <c r="C49" s="485"/>
      <c r="D49" s="486"/>
      <c r="E49" s="14" t="s">
        <v>22</v>
      </c>
      <c r="F49" s="15">
        <f>'Jardim 2B'!B10</f>
        <v>43580</v>
      </c>
    </row>
    <row r="50" spans="1:6" ht="14.25" customHeight="1">
      <c r="A50" s="466" t="s">
        <v>23</v>
      </c>
      <c r="B50" s="467"/>
      <c r="C50" s="467"/>
      <c r="D50" s="467"/>
      <c r="E50" s="467"/>
      <c r="F50" s="468"/>
    </row>
    <row r="51" spans="1:6" ht="14.25" customHeight="1">
      <c r="A51" s="16" t="s">
        <v>24</v>
      </c>
      <c r="B51" s="17">
        <f>'Jardim 2B'!C10</f>
        <v>45729</v>
      </c>
      <c r="C51" s="18" t="s">
        <v>25</v>
      </c>
      <c r="D51" s="469" t="s">
        <v>26</v>
      </c>
      <c r="E51" s="470"/>
      <c r="F51" s="19" t="str">
        <f>'Jardim 2B'!D10</f>
        <v>5a 10m</v>
      </c>
    </row>
    <row r="52" spans="1:6" ht="14.25" customHeight="1">
      <c r="A52" s="20" t="s">
        <v>3</v>
      </c>
      <c r="B52" s="23">
        <f>'Jardim 2B'!E10</f>
        <v>23.2</v>
      </c>
      <c r="C52" s="27">
        <f>'Jardim 2B'!I10</f>
        <v>85</v>
      </c>
      <c r="D52" s="483"/>
      <c r="E52" s="472"/>
      <c r="F52" s="473"/>
    </row>
    <row r="53" spans="1:6" ht="14.25" customHeight="1">
      <c r="A53" s="20" t="s">
        <v>27</v>
      </c>
      <c r="B53" s="21">
        <f>'Jardim 2B'!F10</f>
        <v>1.1599999999999999</v>
      </c>
      <c r="C53" s="26" t="str">
        <f>'Jardim 2B'!J10</f>
        <v>50-75</v>
      </c>
      <c r="D53" s="474"/>
      <c r="E53" s="475"/>
      <c r="F53" s="476"/>
    </row>
    <row r="54" spans="1:6" ht="14.25" customHeight="1">
      <c r="A54" s="20" t="s">
        <v>28</v>
      </c>
      <c r="B54" s="25">
        <f>'Jardim 2B'!G10</f>
        <v>17.241379310344829</v>
      </c>
      <c r="C54" s="26" t="str">
        <f>'Jardim 2B'!H10</f>
        <v>85-95</v>
      </c>
      <c r="D54" s="477"/>
      <c r="E54" s="478"/>
      <c r="F54" s="479"/>
    </row>
    <row r="55" spans="1:6" ht="29.4" thickBot="1">
      <c r="A55" s="24" t="s">
        <v>30</v>
      </c>
      <c r="B55" s="480" t="str">
        <f>'Jardim 2B'!K10</f>
        <v>SOBREPESO</v>
      </c>
      <c r="C55" s="481"/>
      <c r="D55" s="481"/>
      <c r="E55" s="481"/>
      <c r="F55" s="482"/>
    </row>
    <row r="56" spans="1:6" ht="14.25" customHeight="1"/>
    <row r="57" spans="1:6" ht="14.25" customHeight="1"/>
    <row r="58" spans="1:6" ht="14.25" customHeight="1"/>
    <row r="59" spans="1:6" ht="14.25" customHeight="1"/>
    <row r="60" spans="1:6" ht="14.25" customHeight="1"/>
    <row r="61" spans="1:6" ht="14.25" customHeight="1"/>
    <row r="62" spans="1:6" ht="14.25" customHeight="1"/>
    <row r="63" spans="1:6" ht="14.25" customHeight="1"/>
    <row r="64" spans="1:6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B49:D49"/>
    <mergeCell ref="A50:F50"/>
    <mergeCell ref="D51:E51"/>
    <mergeCell ref="D52:F54"/>
    <mergeCell ref="B55:F55"/>
    <mergeCell ref="B41:D41"/>
    <mergeCell ref="A42:F42"/>
    <mergeCell ref="D43:E43"/>
    <mergeCell ref="D44:F46"/>
    <mergeCell ref="B47:F47"/>
    <mergeCell ref="B1:D1"/>
    <mergeCell ref="I1:K1"/>
    <mergeCell ref="A2:F2"/>
    <mergeCell ref="H2:M2"/>
    <mergeCell ref="D3:E3"/>
    <mergeCell ref="K3:L3"/>
    <mergeCell ref="K4:M6"/>
    <mergeCell ref="D4:F6"/>
    <mergeCell ref="B7:F7"/>
    <mergeCell ref="B9:D9"/>
    <mergeCell ref="A10:F10"/>
    <mergeCell ref="D11:E11"/>
    <mergeCell ref="D12:F14"/>
    <mergeCell ref="B15:F15"/>
    <mergeCell ref="I7:M7"/>
    <mergeCell ref="I9:K9"/>
    <mergeCell ref="H10:M10"/>
    <mergeCell ref="K11:L11"/>
    <mergeCell ref="K12:M14"/>
    <mergeCell ref="I15:M15"/>
    <mergeCell ref="I17:K17"/>
    <mergeCell ref="D27:E27"/>
    <mergeCell ref="D28:F30"/>
    <mergeCell ref="B31:F31"/>
    <mergeCell ref="B33:D33"/>
    <mergeCell ref="K28:M30"/>
    <mergeCell ref="I31:M31"/>
    <mergeCell ref="I33:K33"/>
    <mergeCell ref="A34:F34"/>
    <mergeCell ref="D35:E35"/>
    <mergeCell ref="D36:F38"/>
    <mergeCell ref="B39:F39"/>
    <mergeCell ref="B17:D17"/>
    <mergeCell ref="A18:F18"/>
    <mergeCell ref="D19:E19"/>
    <mergeCell ref="D20:F22"/>
    <mergeCell ref="B23:F23"/>
    <mergeCell ref="B25:D25"/>
    <mergeCell ref="A26:F26"/>
    <mergeCell ref="H34:M34"/>
    <mergeCell ref="K35:L35"/>
    <mergeCell ref="K36:M38"/>
    <mergeCell ref="I39:M39"/>
    <mergeCell ref="H18:M18"/>
    <mergeCell ref="K19:L19"/>
    <mergeCell ref="K20:M22"/>
    <mergeCell ref="I23:M23"/>
    <mergeCell ref="I25:K25"/>
    <mergeCell ref="H26:M26"/>
    <mergeCell ref="K27:L27"/>
  </mergeCells>
  <pageMargins left="0.511811024" right="0.511811024" top="0.78740157499999996" bottom="0.78740157499999996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000"/>
  <sheetViews>
    <sheetView tabSelected="1" workbookViewId="0">
      <selection activeCell="Q10" sqref="Q10"/>
    </sheetView>
  </sheetViews>
  <sheetFormatPr defaultColWidth="14.44140625" defaultRowHeight="15" customHeight="1"/>
  <cols>
    <col min="1" max="1" width="19.5546875" customWidth="1"/>
    <col min="2" max="3" width="10.6640625" customWidth="1"/>
    <col min="4" max="4" width="8.6640625" customWidth="1"/>
    <col min="5" max="5" width="14.44140625" customWidth="1"/>
    <col min="6" max="6" width="12.33203125" customWidth="1"/>
    <col min="7" max="7" width="11.88671875" customWidth="1"/>
    <col min="8" max="26" width="8.6640625" customWidth="1"/>
  </cols>
  <sheetData>
    <row r="1" spans="1:7" ht="14.25" customHeight="1"/>
    <row r="2" spans="1:7" ht="14.25" customHeight="1">
      <c r="A2" s="64"/>
      <c r="B2" s="64" t="s">
        <v>129</v>
      </c>
      <c r="C2" s="64" t="s">
        <v>130</v>
      </c>
      <c r="E2" s="64"/>
      <c r="F2" s="64" t="s">
        <v>131</v>
      </c>
      <c r="G2" s="64" t="s">
        <v>132</v>
      </c>
    </row>
    <row r="3" spans="1:7" ht="14.25" customHeight="1">
      <c r="A3" s="64" t="s">
        <v>133</v>
      </c>
      <c r="B3" s="64">
        <f>'BERÇÁRIO 1'!N4+'BERÇÁRIO 2'!N4+'Mini Baby'!N4+'Mini Maternal A'!N4+'Mini Maternal B'!N4+'Maternal A '!N4+'Maternal B'!N4+'Maternal C'!N4+'Jardim 1A '!N4+'Jardim 1B'!N4+'Jardim 2A'!N4+'Jardim 2B'!N4</f>
        <v>0</v>
      </c>
      <c r="C3" s="64">
        <f>'BERÇÁRIO 1'!O4+'BERÇÁRIO 2'!O4+'Mini Baby'!O4+'Mini Maternal A'!O4+'Mini Maternal B'!O4+'Maternal A '!O4+'Maternal B'!O4+'Maternal C'!O4+'Jardim 1A '!O4+'Jardim 1B'!O4+'Jardim 2A'!O4+'Jardim 2B'!O4</f>
        <v>0</v>
      </c>
      <c r="E3" s="64" t="s">
        <v>133</v>
      </c>
      <c r="F3" s="66">
        <f>(B3*100)/B8</f>
        <v>0</v>
      </c>
      <c r="G3" s="66">
        <f>(C3*100)/B8</f>
        <v>0</v>
      </c>
    </row>
    <row r="4" spans="1:7" ht="14.25" customHeight="1">
      <c r="A4" s="64" t="s">
        <v>134</v>
      </c>
      <c r="B4" s="64">
        <f>'BERÇÁRIO 1'!N5+'BERÇÁRIO 2'!N5+'Mini Baby'!N5+'Mini Maternal A'!N5+'Mini Maternal B'!N5+'Maternal A '!N5+'Maternal B'!N5+'Maternal C'!N5+'Jardim 1A '!N5+'Jardim 1B'!N5+'Jardim 2A'!N5+'Jardim 2B'!N5</f>
        <v>41</v>
      </c>
      <c r="C4" s="64">
        <f>'BERÇÁRIO 1'!O5+'BERÇÁRIO 2'!O5+'Mini Baby'!O5+'Mini Maternal A'!O5+'Mini Maternal B'!O5+'Maternal A '!O5+'Maternal B'!O5+'Maternal C'!O5+'Jardim 1A '!O5+'Jardim 1B'!O5+'Jardim 2A'!O5+'Jardim 2B'!O5</f>
        <v>32</v>
      </c>
      <c r="E4" s="64" t="s">
        <v>134</v>
      </c>
      <c r="F4" s="66">
        <f>(B4*100)/B8</f>
        <v>40.594059405940591</v>
      </c>
      <c r="G4" s="66">
        <f>(C4*100)/B8</f>
        <v>31.683168316831683</v>
      </c>
    </row>
    <row r="5" spans="1:7" ht="14.25" customHeight="1">
      <c r="A5" s="64" t="s">
        <v>15</v>
      </c>
      <c r="B5" s="64">
        <f>'BERÇÁRIO 1'!N6+'BERÇÁRIO 2'!N6+'Mini Baby'!N6+'Mini Maternal A'!N6+'Mini Maternal B'!N6+'Maternal A '!N6+'Maternal B'!N6+'Maternal C'!N6+'Jardim 1A '!N6+'Jardim 1B'!N6+'Jardim 2A'!N6+'Jardim 2B'!N6</f>
        <v>8</v>
      </c>
      <c r="C5" s="64">
        <f>'BERÇÁRIO 1'!O6+'BERÇÁRIO 2'!O6+'Mini Baby'!O6+'Mini Maternal A'!O6+'Mini Maternal B'!O6+'Maternal A '!O6+'Maternal B'!O6+'Maternal C'!O6+'Jardim 1A '!O6+'Jardim 1B'!O6+'Jardim 2A'!O6+'Jardim 2B'!O6</f>
        <v>14</v>
      </c>
      <c r="E5" s="64" t="s">
        <v>15</v>
      </c>
      <c r="F5" s="66">
        <f>(B5*100)/B8</f>
        <v>7.9207920792079207</v>
      </c>
      <c r="G5" s="66">
        <f>(C5*100)/B8</f>
        <v>13.861386138613861</v>
      </c>
    </row>
    <row r="6" spans="1:7" ht="14.25" customHeight="1">
      <c r="A6" s="64" t="s">
        <v>17</v>
      </c>
      <c r="B6" s="64">
        <f>'BERÇÁRIO 1'!N7+'BERÇÁRIO 2'!N7+'Mini Baby'!N7+'Mini Maternal A'!N7+'Mini Maternal B'!N7+'Maternal A '!N7+'Maternal B'!N7+'Maternal C'!N7+'Jardim 1A '!N7+'Jardim 1B'!N7+'Jardim 2A'!N7+'Jardim 2B'!N7</f>
        <v>2</v>
      </c>
      <c r="C6" s="64">
        <f>'BERÇÁRIO 1'!O7+'BERÇÁRIO 2'!O7+'Mini Baby'!O7+'Mini Maternal A'!O7+'Mini Maternal B'!O7+'Maternal A '!O7+'Maternal B'!O7+'Maternal C'!O7+'Jardim 1A '!O7+'Jardim 1B'!O7+'Jardim 2A'!O7+'Jardim 2B'!O7</f>
        <v>4</v>
      </c>
      <c r="E6" s="64" t="s">
        <v>17</v>
      </c>
      <c r="F6" s="66">
        <f>(B6*100)/B8</f>
        <v>1.9801980198019802</v>
      </c>
      <c r="G6" s="66">
        <f>(C6*100)/B8</f>
        <v>3.9603960396039604</v>
      </c>
    </row>
    <row r="7" spans="1:7" ht="14.25" customHeight="1">
      <c r="A7" s="525"/>
      <c r="B7" s="472"/>
      <c r="C7" s="472"/>
      <c r="G7" s="67">
        <f>SUM(F3:G6)</f>
        <v>100</v>
      </c>
    </row>
    <row r="8" spans="1:7" ht="14.25" customHeight="1">
      <c r="A8" s="68" t="s">
        <v>135</v>
      </c>
      <c r="B8" s="68">
        <f>SUM(B3:C6)</f>
        <v>101</v>
      </c>
    </row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7:C7"/>
  </mergeCells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25</vt:i4>
      </vt:variant>
    </vt:vector>
  </HeadingPairs>
  <TitlesOfParts>
    <vt:vector size="25" baseType="lpstr">
      <vt:lpstr>BERÇÁRIO 1</vt:lpstr>
      <vt:lpstr>Av. Individual B1</vt:lpstr>
      <vt:lpstr>BERÇÁRIO 2</vt:lpstr>
      <vt:lpstr>Av. Individual B2</vt:lpstr>
      <vt:lpstr>Mini Baby</vt:lpstr>
      <vt:lpstr>Av. Individual MBaby</vt:lpstr>
      <vt:lpstr>Mini Maternal A</vt:lpstr>
      <vt:lpstr>Av. Individual MMA</vt:lpstr>
      <vt:lpstr>Mini Maternal B</vt:lpstr>
      <vt:lpstr>Av. Individual MMB</vt:lpstr>
      <vt:lpstr>Maternal A </vt:lpstr>
      <vt:lpstr>Av. Individual Maternal A</vt:lpstr>
      <vt:lpstr>Maternal B</vt:lpstr>
      <vt:lpstr>Av. Individual Maternal B</vt:lpstr>
      <vt:lpstr>Maternal C</vt:lpstr>
      <vt:lpstr>Av. Individual Maternal C</vt:lpstr>
      <vt:lpstr>Jardim 1A </vt:lpstr>
      <vt:lpstr>Av. Individual J1A</vt:lpstr>
      <vt:lpstr>Jardim 1B</vt:lpstr>
      <vt:lpstr>Av. Nutricional 1B</vt:lpstr>
      <vt:lpstr>Jardim 2A</vt:lpstr>
      <vt:lpstr>Av. Individual J2A</vt:lpstr>
      <vt:lpstr>Jardim 2B</vt:lpstr>
      <vt:lpstr>Av. Individual J2B</vt:lpstr>
      <vt:lpstr>Fechamento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</dc:creator>
  <cp:lastModifiedBy>Carina Claudia Ribeiro Xavier</cp:lastModifiedBy>
  <dcterms:created xsi:type="dcterms:W3CDTF">2018-04-04T19:49:55Z</dcterms:created>
  <dcterms:modified xsi:type="dcterms:W3CDTF">2025-08-04T15:50:08Z</dcterms:modified>
</cp:coreProperties>
</file>